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niora\Documents\"/>
    </mc:Choice>
  </mc:AlternateContent>
  <xr:revisionPtr revIDLastSave="0" documentId="13_ncr:1_{FEAC6C95-9303-48AA-A525-F56A5690B3D9}" xr6:coauthVersionLast="47" xr6:coauthVersionMax="47" xr10:uidLastSave="{00000000-0000-0000-0000-000000000000}"/>
  <bookViews>
    <workbookView xWindow="-110" yWindow="-110" windowWidth="19420" windowHeight="10300" xr2:uid="{00000000-000D-0000-FFFF-FFFF00000000}"/>
  </bookViews>
  <sheets>
    <sheet name="جدول رقم 1" sheetId="4" r:id="rId1"/>
    <sheet name="جدول رقم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9" i="2" l="1"/>
  <c r="F27" i="2"/>
  <c r="E49" i="2"/>
  <c r="E27" i="2"/>
  <c r="D27" i="2"/>
  <c r="D49" i="2" l="1"/>
  <c r="D51" i="2" l="1"/>
  <c r="P48" i="2"/>
  <c r="K51" i="2"/>
  <c r="G29" i="2" l="1"/>
  <c r="F29" i="2"/>
  <c r="E29" i="2"/>
  <c r="P27" i="2" l="1"/>
  <c r="B22" i="4"/>
  <c r="B19" i="4"/>
  <c r="B18" i="4"/>
  <c r="B17" i="4"/>
  <c r="B16" i="4"/>
  <c r="B15" i="4"/>
  <c r="B14" i="4"/>
  <c r="B13" i="4"/>
  <c r="B8" i="4"/>
  <c r="B11" i="4"/>
  <c r="B10" i="4"/>
  <c r="B9" i="4"/>
  <c r="B7" i="4"/>
  <c r="P38" i="2"/>
  <c r="P37" i="2"/>
  <c r="P36" i="2"/>
  <c r="P35" i="2"/>
  <c r="P34" i="2"/>
  <c r="O29" i="2"/>
  <c r="N29" i="2"/>
  <c r="M29" i="2"/>
  <c r="L29" i="2"/>
  <c r="K29" i="2"/>
  <c r="J29" i="2"/>
  <c r="I29" i="2"/>
  <c r="H29" i="2"/>
  <c r="P25" i="2"/>
  <c r="P24" i="2"/>
  <c r="P21" i="2"/>
  <c r="P20" i="2"/>
  <c r="P17" i="2"/>
  <c r="P16" i="2"/>
  <c r="O51" i="2"/>
  <c r="N51" i="2"/>
  <c r="M51" i="2"/>
  <c r="L51" i="2"/>
  <c r="J51" i="2"/>
  <c r="I51" i="2"/>
  <c r="H51" i="2"/>
  <c r="G51" i="2"/>
  <c r="F51" i="2"/>
  <c r="E51" i="2"/>
  <c r="P49" i="2"/>
  <c r="P47" i="2"/>
  <c r="P46" i="2"/>
  <c r="P45" i="2"/>
  <c r="P42" i="2"/>
  <c r="P41" i="2"/>
  <c r="P15" i="2"/>
  <c r="P10" i="2"/>
  <c r="D29" i="2" l="1"/>
  <c r="D53" i="2" s="1"/>
  <c r="E10" i="2" s="1"/>
  <c r="E53" i="2" s="1"/>
  <c r="F10" i="2" s="1"/>
  <c r="F53" i="2" s="1"/>
  <c r="G10" i="2" s="1"/>
  <c r="G53" i="2" s="1"/>
  <c r="H10" i="2" s="1"/>
  <c r="P29" i="2"/>
  <c r="P51" i="2"/>
  <c r="P53" i="2" l="1"/>
  <c r="H53" i="2"/>
  <c r="I10" i="2" s="1"/>
  <c r="I53" i="2" l="1"/>
  <c r="J10" i="2" s="1"/>
  <c r="J53" i="2" l="1"/>
  <c r="K10" i="2" s="1"/>
  <c r="K53" i="2" l="1"/>
  <c r="L10" i="2" s="1"/>
  <c r="L53" i="2" l="1"/>
  <c r="M10" i="2" s="1"/>
  <c r="M53" i="2" l="1"/>
  <c r="N10" i="2" s="1"/>
  <c r="N53" i="2" l="1"/>
  <c r="O10" i="2" s="1"/>
  <c r="O53" i="2" s="1"/>
</calcChain>
</file>

<file path=xl/sharedStrings.xml><?xml version="1.0" encoding="utf-8"?>
<sst xmlns="http://schemas.openxmlformats.org/spreadsheetml/2006/main" count="145" uniqueCount="114">
  <si>
    <t>Al Jomaih Holding Company</t>
  </si>
  <si>
    <t>Note</t>
  </si>
  <si>
    <t>Cash Inflow</t>
  </si>
  <si>
    <t>Actual</t>
  </si>
  <si>
    <t>Projected</t>
  </si>
  <si>
    <t>Full Year</t>
  </si>
  <si>
    <t>Cash Available at Period End</t>
  </si>
  <si>
    <t>Cash Outflow</t>
  </si>
  <si>
    <t>Tax Payments</t>
  </si>
  <si>
    <t>Payments for Murabaha Loans</t>
  </si>
  <si>
    <t>Payments for Governmental Institutions</t>
  </si>
  <si>
    <t>Payments for Shareholders</t>
  </si>
  <si>
    <t>Dividend Payments</t>
  </si>
  <si>
    <t>Total Cash Inflow</t>
  </si>
  <si>
    <t>Total Cash OutFlow</t>
  </si>
  <si>
    <t>A) Cash from Operating Activities</t>
  </si>
  <si>
    <t>Entity Name:</t>
  </si>
  <si>
    <t>B) Cash from Investing Activities</t>
  </si>
  <si>
    <t>Collection from Sale of Fixed Assets and long term assets</t>
  </si>
  <si>
    <t>C) Cash from Financing Activities</t>
  </si>
  <si>
    <t>Collection - Proceeds from issue of shares "Investment"</t>
  </si>
  <si>
    <t>Collection - Proceeds from short-term or long-term debt</t>
  </si>
  <si>
    <t>Other Collection made from Operating Activities</t>
  </si>
  <si>
    <t>A) Cash for Operating Activities</t>
  </si>
  <si>
    <t>Payments to Suppliers (Goods and Services)</t>
  </si>
  <si>
    <t>Payments to Payroll Activities (Wages, Commission, Incentive, etc)</t>
  </si>
  <si>
    <t>Payments for Purchase of Fixed Assets and long term assets</t>
  </si>
  <si>
    <t>Payments for Purchase of shares, securties and current/new investments</t>
  </si>
  <si>
    <t>D) Collection from Related-Affiliated Parties</t>
  </si>
  <si>
    <t>D) Payments for Related-Affiliated Parties</t>
  </si>
  <si>
    <t>Collection received from Sale of Goods/Services in trade (Cash and Credit)</t>
  </si>
  <si>
    <t xml:space="preserve">Payments for Charity </t>
  </si>
  <si>
    <t xml:space="preserve">شركة الجميح القابضة </t>
  </si>
  <si>
    <t xml:space="preserve">اسم الشركة: </t>
  </si>
  <si>
    <t>أ) التدفقات النقدية من الأنشطة التشغيلية</t>
  </si>
  <si>
    <t>متحصلات أخرى من الأنشطة التشغيلية</t>
  </si>
  <si>
    <t>ب) التدفقات النقدية من الأنشطة الإستثمارية</t>
  </si>
  <si>
    <t>د) المتحصلات من الشركات الشقيقة التابعه</t>
  </si>
  <si>
    <t>المدفوعات الخيريه</t>
  </si>
  <si>
    <t>س) التدفقات النقدية من الأنشطة التمويلية</t>
  </si>
  <si>
    <t xml:space="preserve">المدفوعات لسداد قروض المرابحه </t>
  </si>
  <si>
    <t>التدفقات النقدية الواردة:</t>
  </si>
  <si>
    <t xml:space="preserve"> المتحصلات من المبيعات للبضائع والخدمات ( النقد والذمم المدينة )</t>
  </si>
  <si>
    <t xml:space="preserve">التحصيلات النقدية من بيع الموجودات الثابتة أو بيع أصول طويلة الاجل  </t>
  </si>
  <si>
    <t>الفوائد المحصلة من الودائع أو أرباح من الاستثمارات محلية تمت عن طريق الشركة</t>
  </si>
  <si>
    <t>التحصيلات من الاستثمارات التي تمت في أسهم، سندات أو استثمارات خارجية تمت عن طريق الشركة</t>
  </si>
  <si>
    <t>التحصيلات من القروض  القصيرة أو طويلة الاجل تم منحها الى أطراف خارجية</t>
  </si>
  <si>
    <t>التحصيلات للعوائد من اصدار أسهم قامت بإصدارها الشركة</t>
  </si>
  <si>
    <t>اجمالي التدفقات النقدية الواردة :</t>
  </si>
  <si>
    <t>التدفقات النقدية الصادرة:</t>
  </si>
  <si>
    <t>المدفوعات للموردين (البضائع والخدمات )</t>
  </si>
  <si>
    <t>المدفوعات لمستحقات الموظفين ( الرواتب, العمولات, الحوافز , الخ)</t>
  </si>
  <si>
    <t>المدفوعات الضريبية بأنواعها</t>
  </si>
  <si>
    <t xml:space="preserve">المدفوعات الحكومية بأنواعها </t>
  </si>
  <si>
    <t>المدفوعات من أجل شراء الموجودات الثابتة أو أية إستثمارات طويلة الاجل</t>
  </si>
  <si>
    <t xml:space="preserve">المدفوعات لشراء اسهم أو سندات أو الدخول في استثمارات جديدة </t>
  </si>
  <si>
    <t xml:space="preserve">المدفوعات الخاصة في توزيع الأرباح السنوية على الشركاء </t>
  </si>
  <si>
    <t>المدفوعات التي تتم على حسابات الشركاء الجارية لدى الشركة</t>
  </si>
  <si>
    <t>د) المدفوعات الى الشركات الشقيقة التابعه</t>
  </si>
  <si>
    <t>اجمالي التدفقات النقدية الصادرة:</t>
  </si>
  <si>
    <t>النقد المتاح  في نهاية الفترة:</t>
  </si>
  <si>
    <t xml:space="preserve">النقد المتاح في بداية الفترة </t>
  </si>
  <si>
    <t xml:space="preserve">Cash Available - Beginning Balance </t>
  </si>
  <si>
    <t>التفصيل</t>
  </si>
  <si>
    <t>كل العام</t>
  </si>
  <si>
    <t>جدول رقم (1)</t>
  </si>
  <si>
    <t>Schedule No.1</t>
  </si>
  <si>
    <t>Cash Flow Statement for 2022</t>
  </si>
  <si>
    <t>الفعلي</t>
  </si>
  <si>
    <t>المتوقع</t>
  </si>
  <si>
    <t>Schedule No.3</t>
  </si>
  <si>
    <t>Guidelines for filling the Cash Flow Statements (2021 - 2022)</t>
  </si>
  <si>
    <t>Amount in SR المبالغ بالريال السعودي</t>
  </si>
  <si>
    <t>Description</t>
  </si>
  <si>
    <t>Represents the actual cash/bank available balance at 1-1-2021</t>
  </si>
  <si>
    <t>Interest on deposits on local investment made by the Entity</t>
  </si>
  <si>
    <t>Collection from Sale of Investment (shares, securties or other investments)</t>
  </si>
  <si>
    <t>Represents the receipt of inflows for selling any kind of a company's fixed assets and long term investments in bonds or selling of copyright, franchise, goodwill, trademark, and software</t>
  </si>
  <si>
    <t>Represents receipt of inflows for the below examples:
Cash receipts from lawsuit settlements
Cash receipts from insurance companies
Cash receipts from licensees
Cash receipts from rent
Others: please specify</t>
  </si>
  <si>
    <t>Represents the receipt of inflows for selling any financial instrument in full or partially that the company owns and recorded in its financial records, which may be like shares, bonds, government securities, etc…</t>
  </si>
  <si>
    <t>Represents the periodic receipt of inflows for current invested financial instrument that the company owns and recorded in its financial records, which may be like shares, bonds, government securities, or interest on deposits in bank accounts that entity has and recorded in its financials</t>
  </si>
  <si>
    <t>The cash inflow out of a borrowing that company lend to other companies (including sister companies) basis on an agreed terms of repayment within one year or more</t>
  </si>
  <si>
    <t>Not Applicable غير مطبقة في الشركة القابضة والشركات التابعة لها</t>
  </si>
  <si>
    <t>Represents the receipt of inflows for any sale transaction made to the items the company sells to trade or consumers for the major business line of the company such as (Finished Goods, Cars, Repair service, etc…)</t>
  </si>
  <si>
    <t>Represents all type of payments made to GAZT (ex. Excise tax, withholding tax, VAT, Zakat, etc…)</t>
  </si>
  <si>
    <t>Represents all type of payments made to governmental institutions other than GAZT and Social Security (Ex. Labor office, CCP, Ministries, etc…)</t>
  </si>
  <si>
    <t>Represents all payments made to purchase any kind of a company's fixed assets and long term investments in bonds or buying copyright, franchise, goodwill, trademark, and software</t>
  </si>
  <si>
    <t>Represents the payments made to purchase any financial instrument in full or partially that the company owns and records in its financial records, which may be like shares, bonds, government securities, etc…</t>
  </si>
  <si>
    <t>Only applicable to Al Jomaih Holding (Riyadh) to fill</t>
  </si>
  <si>
    <t>Represents any payment made to any of the shareholders in person by the company</t>
  </si>
  <si>
    <t>No</t>
  </si>
  <si>
    <t>Collection from Sale of Investment (shares, securities or other investments)</t>
  </si>
  <si>
    <t>Represents all type of payments made to vendors for purchase of raw and packaging materials, finished goods, spare parts and services such as transportation, utilities, insurance, customs, etc…</t>
  </si>
  <si>
    <t>Represents all type of payments made to the employees of the company such the employee benefits and related costs (salaries, transportation, housing, commission, incentive, etc…) and paid on behalf of the employee to external parties (ex. outsourced companies, GOSI, medical insurance, training, etc...)</t>
  </si>
  <si>
    <t xml:space="preserve">Represents the payments made to settle loan instalment/s as per the agreement made between the company and the bank or any other external party </t>
  </si>
  <si>
    <t>General Note: If any of the above cashflow notes are not applicable for our good company, please fill the associated fields with Zero amounts</t>
  </si>
  <si>
    <t>قائمة التدفقات النقدية عن السنة المالية 2202</t>
  </si>
  <si>
    <t>Holding</t>
  </si>
  <si>
    <t>المدفوعات التى تتم على تخارج الشركاء</t>
  </si>
  <si>
    <t>Payment for the Exit Partners</t>
  </si>
  <si>
    <t>قروض طويلة الاجل</t>
  </si>
  <si>
    <t>long term loan</t>
  </si>
  <si>
    <t>يناير 23</t>
  </si>
  <si>
    <t>فبراير 23</t>
  </si>
  <si>
    <t>مارس 23</t>
  </si>
  <si>
    <t>ابريل 23</t>
  </si>
  <si>
    <t>مايو 23</t>
  </si>
  <si>
    <t>يونيو 23</t>
  </si>
  <si>
    <t>يوليو 23</t>
  </si>
  <si>
    <t>أغسطس 23</t>
  </si>
  <si>
    <t>سبتمبر 23</t>
  </si>
  <si>
    <t>أكتوبر 23</t>
  </si>
  <si>
    <t>نوفمبر 23</t>
  </si>
  <si>
    <t>ديسمبر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</si>
</sst>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28">
    <font>
      <sz val="11"/>
      <color theme="1"/>
      <name val="Calibri"/>
      <family val="2"/>
      <scheme val="minor"/>
    </font>
    <font>
      <sz val="11"/>
      <color theme="1"/>
      <name val="Calibri"/>
      <family val="2"/>
      <scheme val="minor"/>
    </font>
    <font>
      <sz val="11"/>
      <color theme="1"/>
      <name val="Tahoma"/>
      <family val="2"/>
    </font>
    <font>
      <b/>
      <u/>
      <sz val="16"/>
      <color theme="1"/>
      <name val="Tahoma"/>
      <family val="2"/>
    </font>
    <font>
      <b/>
      <sz val="11"/>
      <color theme="1"/>
      <name val="Tahoma"/>
      <family val="2"/>
    </font>
    <font>
      <b/>
      <sz val="11"/>
      <color rgb="FF0000CC"/>
      <name val="Tahoma"/>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Arabic)"/>
      <charset val="178"/>
    </font>
    <font>
      <sz val="10"/>
      <name val="Arial"/>
      <family val="2"/>
    </font>
    <font>
      <b/>
      <i/>
      <sz val="11"/>
      <color theme="1"/>
      <name val="Calibri"/>
      <family val="2"/>
      <scheme val="minor"/>
    </font>
    <font>
      <b/>
      <sz val="11"/>
      <color rgb="FFFF0000"/>
      <name val="Tahoma"/>
      <family val="2"/>
    </font>
    <font>
      <sz val="11"/>
      <color rgb="FFFF0000"/>
      <name val="Tahoma"/>
      <family val="2"/>
    </font>
    <font>
      <sz val="8"/>
      <name val="Calibri"/>
      <family val="2"/>
      <scheme val="minor"/>
    </font>
  </fonts>
  <fills count="38">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5">
    <xf numFmtId="0" fontId="0" fillId="0" borderId="0"/>
    <xf numFmtId="9" fontId="1" fillId="0" borderId="0" applyFont="0" applyFill="0" applyBorder="0" applyAlignment="0" applyProtection="0"/>
    <xf numFmtId="0" fontId="22" fillId="0" borderId="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4"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21" fillId="12"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4" borderId="0" applyNumberFormat="0" applyBorder="0" applyAlignment="0" applyProtection="0"/>
    <xf numFmtId="0" fontId="21" fillId="28" borderId="0" applyNumberFormat="0" applyBorder="0" applyAlignment="0" applyProtection="0"/>
    <xf numFmtId="0" fontId="21" fillId="32" borderId="0" applyNumberFormat="0" applyBorder="0" applyAlignment="0" applyProtection="0"/>
    <xf numFmtId="0" fontId="11" fillId="6" borderId="0" applyNumberFormat="0" applyBorder="0" applyAlignment="0" applyProtection="0"/>
    <xf numFmtId="0" fontId="15" fillId="9" borderId="5" applyNumberFormat="0" applyAlignment="0" applyProtection="0"/>
    <xf numFmtId="0" fontId="17" fillId="10" borderId="8" applyNumberFormat="0" applyAlignment="0" applyProtection="0"/>
    <xf numFmtId="165"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0" fontId="19" fillId="0" borderId="0" applyNumberFormat="0" applyFill="0" applyBorder="0" applyAlignment="0" applyProtection="0"/>
    <xf numFmtId="0" fontId="10" fillId="5" borderId="0" applyNumberFormat="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3" fillId="8" borderId="5" applyNumberFormat="0" applyAlignment="0" applyProtection="0"/>
    <xf numFmtId="0" fontId="16" fillId="0" borderId="7" applyNumberFormat="0" applyFill="0" applyAlignment="0" applyProtection="0"/>
    <xf numFmtId="0" fontId="12" fillId="7" borderId="0" applyNumberFormat="0" applyBorder="0" applyAlignment="0" applyProtection="0"/>
    <xf numFmtId="0" fontId="1" fillId="0" borderId="0"/>
    <xf numFmtId="0" fontId="23" fillId="0" borderId="0"/>
    <xf numFmtId="0" fontId="22" fillId="0" borderId="0"/>
    <xf numFmtId="0" fontId="1" fillId="11" borderId="9" applyNumberFormat="0" applyFont="0" applyAlignment="0" applyProtection="0"/>
    <xf numFmtId="0" fontId="14" fillId="9" borderId="6" applyNumberFormat="0" applyAlignment="0" applyProtection="0"/>
    <xf numFmtId="9" fontId="22" fillId="0" borderId="0" applyFont="0" applyFill="0" applyBorder="0" applyAlignment="0" applyProtection="0"/>
    <xf numFmtId="9" fontId="22" fillId="0" borderId="0" applyFont="0" applyFill="0" applyBorder="0" applyAlignment="0" applyProtection="0"/>
    <xf numFmtId="0" fontId="6" fillId="0" borderId="0" applyNumberFormat="0" applyFill="0" applyBorder="0" applyAlignment="0" applyProtection="0"/>
    <xf numFmtId="0" fontId="20" fillId="0" borderId="10" applyNumberFormat="0" applyFill="0" applyAlignment="0" applyProtection="0"/>
    <xf numFmtId="0" fontId="18" fillId="0" borderId="0" applyNumberFormat="0" applyFill="0" applyBorder="0" applyAlignment="0" applyProtection="0"/>
    <xf numFmtId="165" fontId="22"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0" fontId="4" fillId="3" borderId="1" xfId="0" applyFont="1" applyFill="1" applyBorder="1" applyAlignment="1">
      <alignment horizontal="left" vertical="center"/>
    </xf>
    <xf numFmtId="9" fontId="2" fillId="0" borderId="0" xfId="1" applyFont="1" applyFill="1" applyBorder="1"/>
    <xf numFmtId="0" fontId="2" fillId="0" borderId="1" xfId="0" applyFont="1" applyBorder="1" applyAlignment="1">
      <alignment horizontal="left" vertical="center"/>
    </xf>
    <xf numFmtId="38" fontId="2" fillId="3" borderId="1" xfId="0" applyNumberFormat="1" applyFont="1" applyFill="1" applyBorder="1" applyAlignment="1">
      <alignment horizontal="center" vertical="center"/>
    </xf>
    <xf numFmtId="38"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17" fontId="2" fillId="2" borderId="1" xfId="0" applyNumberFormat="1" applyFont="1" applyFill="1" applyBorder="1" applyAlignment="1">
      <alignment horizontal="center" vertical="center"/>
    </xf>
    <xf numFmtId="17" fontId="2" fillId="0" borderId="0" xfId="0" applyNumberFormat="1" applyFont="1" applyAlignment="1">
      <alignment horizontal="center" vertical="center"/>
    </xf>
    <xf numFmtId="0" fontId="2" fillId="0" borderId="0" xfId="0" applyFont="1" applyAlignment="1">
      <alignment horizontal="center" vertical="center"/>
    </xf>
    <xf numFmtId="0" fontId="4" fillId="0" borderId="0" xfId="0" applyFont="1"/>
    <xf numFmtId="0" fontId="4" fillId="3" borderId="1" xfId="0" applyFont="1" applyFill="1" applyBorder="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vertical="center"/>
    </xf>
    <xf numFmtId="38" fontId="2" fillId="4" borderId="1" xfId="0" applyNumberFormat="1" applyFont="1" applyFill="1" applyBorder="1" applyAlignment="1">
      <alignment horizontal="center" vertical="center"/>
    </xf>
    <xf numFmtId="0" fontId="4" fillId="0" borderId="1" xfId="0" applyFont="1" applyBorder="1" applyAlignment="1">
      <alignment horizontal="left" vertical="center"/>
    </xf>
    <xf numFmtId="0" fontId="2" fillId="0" borderId="1" xfId="0" applyFont="1" applyBorder="1" applyAlignment="1">
      <alignment horizontal="left" vertical="center" indent="2"/>
    </xf>
    <xf numFmtId="0" fontId="3" fillId="0" borderId="0" xfId="0" applyFont="1" applyAlignment="1">
      <alignment horizont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38" fontId="5" fillId="0" borderId="1" xfId="0" applyNumberFormat="1" applyFont="1" applyBorder="1" applyAlignment="1">
      <alignment horizontal="center" vertical="center"/>
    </xf>
    <xf numFmtId="0" fontId="5" fillId="0" borderId="0" xfId="0" applyFont="1"/>
    <xf numFmtId="9" fontId="5" fillId="0" borderId="0" xfId="1" applyFont="1" applyFill="1" applyBorder="1"/>
    <xf numFmtId="0" fontId="4" fillId="0" borderId="1" xfId="0" applyFont="1" applyBorder="1" applyAlignment="1">
      <alignment horizontal="center" vertical="center"/>
    </xf>
    <xf numFmtId="0" fontId="2" fillId="3" borderId="1" xfId="0" applyFont="1" applyFill="1" applyBorder="1" applyAlignment="1">
      <alignment horizontal="center" vertical="center"/>
    </xf>
    <xf numFmtId="0" fontId="4" fillId="3" borderId="1" xfId="0" applyFont="1" applyFill="1" applyBorder="1" applyAlignment="1">
      <alignment horizontal="right" vertical="center"/>
    </xf>
    <xf numFmtId="0" fontId="4" fillId="0" borderId="11" xfId="0" applyFont="1" applyBorder="1" applyAlignment="1">
      <alignment horizontal="right" vertical="center"/>
    </xf>
    <xf numFmtId="0" fontId="2" fillId="0" borderId="1" xfId="0" applyFont="1" applyBorder="1"/>
    <xf numFmtId="0" fontId="4" fillId="0" borderId="1" xfId="0" applyFont="1" applyBorder="1" applyAlignment="1">
      <alignment horizontal="right" vertical="center"/>
    </xf>
    <xf numFmtId="0" fontId="5" fillId="0" borderId="1" xfId="0" applyFont="1" applyBorder="1" applyAlignment="1">
      <alignment horizontal="right" vertical="center"/>
    </xf>
    <xf numFmtId="0" fontId="2" fillId="0" borderId="1" xfId="0" applyFont="1" applyBorder="1" applyAlignment="1">
      <alignment wrapText="1"/>
    </xf>
    <xf numFmtId="0" fontId="2" fillId="0" borderId="1" xfId="0" applyFont="1" applyBorder="1" applyAlignment="1">
      <alignment horizontal="left" vertical="center" wrapText="1" indent="2"/>
    </xf>
    <xf numFmtId="0" fontId="2" fillId="0" borderId="1" xfId="0" applyFont="1" applyBorder="1" applyAlignment="1">
      <alignment horizontal="left" vertical="center" wrapText="1"/>
    </xf>
    <xf numFmtId="0" fontId="2" fillId="0" borderId="1" xfId="0" applyFont="1" applyBorder="1" applyAlignment="1">
      <alignment horizontal="right" vertical="center"/>
    </xf>
    <xf numFmtId="0" fontId="4" fillId="0" borderId="0" xfId="0" applyFont="1" applyAlignment="1">
      <alignment horizontal="right" vertical="center"/>
    </xf>
    <xf numFmtId="0" fontId="0" fillId="0" borderId="0" xfId="0" applyAlignment="1">
      <alignment horizontal="center"/>
    </xf>
    <xf numFmtId="0" fontId="0" fillId="0" borderId="0" xfId="0" applyAlignment="1">
      <alignment vertical="center" wrapText="1"/>
    </xf>
    <xf numFmtId="0" fontId="20" fillId="0" borderId="0" xfId="0" applyFont="1" applyAlignment="1">
      <alignment horizontal="center" vertical="center"/>
    </xf>
    <xf numFmtId="0" fontId="20" fillId="36"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4" fillId="0" borderId="0" xfId="0" applyFont="1" applyAlignment="1">
      <alignment horizontal="left"/>
    </xf>
    <xf numFmtId="0" fontId="25" fillId="37" borderId="1" xfId="0" applyFont="1" applyFill="1" applyBorder="1" applyAlignment="1">
      <alignment horizontal="left" vertical="center"/>
    </xf>
    <xf numFmtId="49" fontId="0" fillId="0" borderId="0" xfId="0" applyNumberFormat="1" applyAlignment="1">
      <alignment horizontal="center" vertical="center"/>
    </xf>
    <xf numFmtId="4" fontId="0" fillId="0" borderId="0" xfId="0" applyNumberFormat="1" applyAlignment="1">
      <alignment horizontal="center" vertical="center"/>
    </xf>
    <xf numFmtId="0" fontId="0" fillId="0" borderId="0" xfId="0" applyAlignment="1">
      <alignment horizontal="left" vertical="center"/>
    </xf>
    <xf numFmtId="0" fontId="2" fillId="0" borderId="0" xfId="0" applyFont="1" applyAlignment="1">
      <alignment horizontal="left"/>
    </xf>
    <xf numFmtId="0" fontId="20" fillId="0" borderId="0" xfId="0" applyFont="1" applyAlignment="1">
      <alignment horizontal="left" vertical="center"/>
    </xf>
    <xf numFmtId="4" fontId="2" fillId="0" borderId="0" xfId="0" applyNumberFormat="1" applyFont="1" applyAlignment="1">
      <alignment horizontal="center" vertical="center"/>
    </xf>
    <xf numFmtId="38" fontId="26" fillId="4" borderId="1" xfId="0" applyNumberFormat="1" applyFont="1" applyFill="1" applyBorder="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horizontal="left"/>
    </xf>
    <xf numFmtId="3" fontId="0" fillId="0" borderId="0" xfId="0" applyNumberFormat="1" applyAlignment="1">
      <alignment horizontal="center" vertical="center"/>
    </xf>
    <xf numFmtId="3" fontId="2" fillId="0" borderId="0" xfId="0" applyNumberFormat="1" applyFont="1" applyAlignment="1">
      <alignment horizontal="center" vertical="center"/>
    </xf>
    <xf numFmtId="0" fontId="3" fillId="4" borderId="0" xfId="0" applyFont="1" applyFill="1" applyAlignment="1">
      <alignment horizont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38" fontId="2" fillId="0" borderId="14" xfId="0" applyNumberFormat="1" applyFont="1" applyBorder="1" applyAlignment="1">
      <alignment horizontal="center" vertical="center"/>
    </xf>
    <xf numFmtId="38" fontId="2" fillId="0" borderId="15" xfId="0" applyNumberFormat="1" applyFont="1" applyBorder="1" applyAlignment="1">
      <alignment horizontal="center" vertical="center"/>
    </xf>
    <xf numFmtId="38" fontId="2" fillId="0" borderId="16" xfId="0" applyNumberFormat="1" applyFont="1" applyBorder="1" applyAlignment="1">
      <alignment horizontal="center" vertical="center"/>
    </xf>
  </cellXfs>
  <cellStyles count="55">
    <cellStyle name="20% - Accent1 2" xfId="3" xr:uid="{0FFC7255-3B77-4B6C-8135-CF826F6D975B}"/>
    <cellStyle name="20% - Accent2 2" xfId="4" xr:uid="{0EF8AF4E-0367-4621-BD94-46C26E791904}"/>
    <cellStyle name="20% - Accent3 2" xfId="5" xr:uid="{1B8ABA33-8DFD-4B09-93D3-683A9939BA08}"/>
    <cellStyle name="20% - Accent4 2" xfId="6" xr:uid="{681E320B-44C6-4C06-9272-E72204665C8F}"/>
    <cellStyle name="20% - Accent5 2" xfId="7" xr:uid="{4AC9C1C2-FA24-433E-8D8B-D74996C5DD97}"/>
    <cellStyle name="20% - Accent6 2" xfId="8" xr:uid="{C9748B95-AA35-4D64-8984-3E43529DEC6C}"/>
    <cellStyle name="40% - Accent1 2" xfId="9" xr:uid="{E1A11029-F09E-40E7-8075-882682457CA8}"/>
    <cellStyle name="40% - Accent2 2" xfId="10" xr:uid="{EED9F4EC-5DF4-4D89-BB3F-83D9A822244C}"/>
    <cellStyle name="40% - Accent3 2" xfId="11" xr:uid="{4F691A69-724B-47C7-A798-49FACA0F0B89}"/>
    <cellStyle name="40% - Accent4 2" xfId="12" xr:uid="{278687A6-805C-4558-97DF-3C6C83B3F811}"/>
    <cellStyle name="40% - Accent5 2" xfId="13" xr:uid="{09946A4B-459F-4AB3-BE4F-74A420303800}"/>
    <cellStyle name="40% - Accent6 2" xfId="14" xr:uid="{D070D283-E86F-4581-B012-7A179795FFD5}"/>
    <cellStyle name="60% - Accent1 2" xfId="15" xr:uid="{02AD3940-8ED1-4641-A846-6979A62BDD04}"/>
    <cellStyle name="60% - Accent2 2" xfId="16" xr:uid="{688B5C35-B304-4EB7-894E-4BB82A40B956}"/>
    <cellStyle name="60% - Accent3 2" xfId="17" xr:uid="{BB8C4DC4-299B-4B45-A6A7-673429F0A340}"/>
    <cellStyle name="60% - Accent4 2" xfId="18" xr:uid="{D1BC7D4C-B6BB-45AB-97F1-8DC2411EEFE0}"/>
    <cellStyle name="60% - Accent5 2" xfId="19" xr:uid="{7F6B6A41-5F29-46DB-9C0F-DA8896D31F26}"/>
    <cellStyle name="60% - Accent6 2" xfId="20" xr:uid="{36981EEF-A55B-45C0-A4AF-F1CF23C682F0}"/>
    <cellStyle name="Accent1 2" xfId="21" xr:uid="{18160340-1E3E-47AF-A046-8F23AA966168}"/>
    <cellStyle name="Accent2 2" xfId="22" xr:uid="{E4103B85-996F-4FF6-B1D3-F2CEB2A63B4F}"/>
    <cellStyle name="Accent3 2" xfId="23" xr:uid="{19F8CBA4-25CF-4808-8127-7A8845614F43}"/>
    <cellStyle name="Accent4 2" xfId="24" xr:uid="{D36567CA-2DFC-4369-8E28-AF9B5B698188}"/>
    <cellStyle name="Accent5 2" xfId="25" xr:uid="{35CCE490-64EF-4923-AB07-9E700822FE0E}"/>
    <cellStyle name="Accent6 2" xfId="26" xr:uid="{8134EF98-0766-47CC-A9AF-8ACE9FF56A0E}"/>
    <cellStyle name="Bad 2" xfId="27" xr:uid="{A0698794-674F-4DFE-81F1-192C6373C335}"/>
    <cellStyle name="Calculation 2" xfId="28" xr:uid="{26B1EE31-2F63-41D7-9F9A-ACC31597F22A}"/>
    <cellStyle name="Check Cell 2" xfId="29" xr:uid="{75EB18BE-FB60-4D27-8276-12DEB755FDAC}"/>
    <cellStyle name="Comma [0] 2" xfId="32" xr:uid="{75A764D7-0206-4F82-BE70-E029CBA23111}"/>
    <cellStyle name="Comma [0] 3" xfId="31" xr:uid="{6DCF629B-D053-4C96-B912-6F99A68588D4}"/>
    <cellStyle name="Comma 2" xfId="33" xr:uid="{497B00CB-BD8D-4D4C-AE15-EC1484CB050B}"/>
    <cellStyle name="Comma 3" xfId="34" xr:uid="{769B9910-74E7-4740-BB08-3EFBEF3E8065}"/>
    <cellStyle name="Comma 4" xfId="30" xr:uid="{6A91D0F0-C88C-43F5-AA8C-30C3F5364635}"/>
    <cellStyle name="Comma 5" xfId="54" xr:uid="{71711FD0-9C7B-409D-92AB-9752154B88B7}"/>
    <cellStyle name="Explanatory Text 2" xfId="35" xr:uid="{71C8A803-CB8B-49C6-871F-11A4B04FDFCB}"/>
    <cellStyle name="Good 2" xfId="36" xr:uid="{8FCCA1AC-27D0-46CD-B11F-EE43D7EE69F5}"/>
    <cellStyle name="Heading 1 2" xfId="37" xr:uid="{F73D355A-F1EF-4014-901A-ED91904EE349}"/>
    <cellStyle name="Heading 2 2" xfId="38" xr:uid="{6D67848B-2AA0-4DB9-90B3-D9614C070D97}"/>
    <cellStyle name="Heading 3 2" xfId="39" xr:uid="{3291343C-0AFD-4687-98C6-35857A5833A8}"/>
    <cellStyle name="Heading 4 2" xfId="40" xr:uid="{E727FA43-DCC7-4A86-A467-5C86F8391FDC}"/>
    <cellStyle name="Input 2" xfId="41" xr:uid="{9343ABE0-98CD-4C29-8011-6022FAB0277C}"/>
    <cellStyle name="Linked Cell 2" xfId="42" xr:uid="{29DA454A-8990-4A23-8B23-C194870870A5}"/>
    <cellStyle name="Neutral 2" xfId="43" xr:uid="{28114A84-16A9-45E5-845B-5D545D807357}"/>
    <cellStyle name="Normal" xfId="0" builtinId="0"/>
    <cellStyle name="Normal 2" xfId="44" xr:uid="{020E1C93-25B0-41C5-A921-47ECF076CB2E}"/>
    <cellStyle name="Normal 3" xfId="45" xr:uid="{D7E2CF63-18E5-407A-A98A-06A807EB8AA5}"/>
    <cellStyle name="Normal 4" xfId="46" xr:uid="{15E3BC4E-35B9-471F-83EE-3E65259A592B}"/>
    <cellStyle name="Normal 5" xfId="2" xr:uid="{0EF11AF1-CC18-4612-ACB8-28E592420E24}"/>
    <cellStyle name="Note 2" xfId="47" xr:uid="{6ACE27BD-791F-4940-A3BD-3ADEF493E507}"/>
    <cellStyle name="Output 2" xfId="48" xr:uid="{EAFE2173-A653-4CB4-804D-D40724CF7CFE}"/>
    <cellStyle name="Percent" xfId="1" builtinId="5"/>
    <cellStyle name="Percent 2" xfId="50" xr:uid="{41ED9343-C622-4F53-A74F-273D3CC71D0B}"/>
    <cellStyle name="Percent 3" xfId="49" xr:uid="{163B5E46-2FC3-42C2-A154-C8BD677911D5}"/>
    <cellStyle name="Title 2" xfId="51" xr:uid="{C9BB4271-9ECD-4958-B3ED-8B929B016C16}"/>
    <cellStyle name="Total 2" xfId="52" xr:uid="{8C5DAC5B-E537-4A73-A65B-CEC98B37D1D5}"/>
    <cellStyle name="Warning Text 2" xfId="53" xr:uid="{26DF7741-19E8-4B64-844B-5D939AE09A26}"/>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DCB5B-0B57-4ADF-ABF8-0B39DADD1452}">
  <sheetPr codeName="Sheet1"/>
  <dimension ref="A2:C24"/>
  <sheetViews>
    <sheetView tabSelected="1" workbookViewId="0">
      <selection activeCell="C3" sqref="C3"/>
    </sheetView>
  </sheetViews>
  <sheetFormatPr defaultRowHeight="14.5"/>
  <cols>
    <col min="1" max="1" width="9.1796875" style="37"/>
    <col min="2" max="2" width="69.26953125" bestFit="1" customWidth="1"/>
    <col min="3" max="3" width="84.7265625" customWidth="1"/>
  </cols>
  <sheetData>
    <row r="2" spans="1:3">
      <c r="A2" s="12" t="s">
        <v>0</v>
      </c>
    </row>
    <row r="3" spans="1:3">
      <c r="A3" s="12" t="s">
        <v>70</v>
      </c>
    </row>
    <row r="4" spans="1:3">
      <c r="A4" s="12" t="s">
        <v>71</v>
      </c>
    </row>
    <row r="6" spans="1:3" s="39" customFormat="1" ht="29.25" customHeight="1">
      <c r="A6" s="40" t="s">
        <v>90</v>
      </c>
      <c r="B6" s="40" t="s">
        <v>1</v>
      </c>
      <c r="C6" s="40" t="s">
        <v>73</v>
      </c>
    </row>
    <row r="7" spans="1:3" s="38" customFormat="1">
      <c r="A7" s="41">
        <v>1</v>
      </c>
      <c r="B7" s="42" t="str">
        <f>'جدول رقم 2'!B10</f>
        <v xml:space="preserve">Cash Available - Beginning Balance </v>
      </c>
      <c r="C7" s="42" t="s">
        <v>74</v>
      </c>
    </row>
    <row r="8" spans="1:3" s="38" customFormat="1" ht="43.5">
      <c r="A8" s="41">
        <v>2</v>
      </c>
      <c r="B8" s="42" t="str">
        <f>'جدول رقم 2'!B15</f>
        <v>Collection received from Sale of Goods/Services in trade (Cash and Credit)</v>
      </c>
      <c r="C8" s="42" t="s">
        <v>83</v>
      </c>
    </row>
    <row r="9" spans="1:3" s="38" customFormat="1" ht="43.5">
      <c r="A9" s="41">
        <v>3</v>
      </c>
      <c r="B9" s="42" t="str">
        <f>'جدول رقم 2'!B16</f>
        <v>Interest on deposits on local investment made by the Entity</v>
      </c>
      <c r="C9" s="42" t="s">
        <v>80</v>
      </c>
    </row>
    <row r="10" spans="1:3" s="38" customFormat="1" ht="87">
      <c r="A10" s="41">
        <v>4</v>
      </c>
      <c r="B10" s="42" t="str">
        <f>'جدول رقم 2'!B17</f>
        <v>Other Collection made from Operating Activities</v>
      </c>
      <c r="C10" s="42" t="s">
        <v>78</v>
      </c>
    </row>
    <row r="11" spans="1:3" s="38" customFormat="1" ht="29">
      <c r="A11" s="41">
        <v>5</v>
      </c>
      <c r="B11" s="42" t="str">
        <f>'جدول رقم 2'!B20</f>
        <v>Collection from Sale of Fixed Assets and long term assets</v>
      </c>
      <c r="C11" s="42" t="s">
        <v>77</v>
      </c>
    </row>
    <row r="12" spans="1:3" s="38" customFormat="1" ht="45.4" customHeight="1">
      <c r="A12" s="41">
        <v>6</v>
      </c>
      <c r="B12" s="42" t="s">
        <v>91</v>
      </c>
      <c r="C12" s="42" t="s">
        <v>79</v>
      </c>
    </row>
    <row r="13" spans="1:3" s="38" customFormat="1" ht="29">
      <c r="A13" s="41">
        <v>7</v>
      </c>
      <c r="B13" s="42" t="str">
        <f>'جدول رقم 2'!B24</f>
        <v>Collection - Proceeds from short-term or long-term debt</v>
      </c>
      <c r="C13" s="42" t="s">
        <v>81</v>
      </c>
    </row>
    <row r="14" spans="1:3" s="38" customFormat="1" ht="29">
      <c r="A14" s="41">
        <v>8</v>
      </c>
      <c r="B14" s="42" t="str">
        <f>'جدول رقم 2'!B34</f>
        <v>Payments to Suppliers (Goods and Services)</v>
      </c>
      <c r="C14" s="42" t="s">
        <v>92</v>
      </c>
    </row>
    <row r="15" spans="1:3" s="38" customFormat="1" ht="58">
      <c r="A15" s="41">
        <v>9</v>
      </c>
      <c r="B15" s="42" t="str">
        <f>'جدول رقم 2'!B35</f>
        <v>Payments to Payroll Activities (Wages, Commission, Incentive, etc)</v>
      </c>
      <c r="C15" s="42" t="s">
        <v>93</v>
      </c>
    </row>
    <row r="16" spans="1:3" s="38" customFormat="1">
      <c r="A16" s="41">
        <v>10</v>
      </c>
      <c r="B16" s="42" t="str">
        <f>'جدول رقم 2'!B36</f>
        <v>Tax Payments</v>
      </c>
      <c r="C16" s="42" t="s">
        <v>84</v>
      </c>
    </row>
    <row r="17" spans="1:3" s="38" customFormat="1" ht="29">
      <c r="A17" s="41">
        <v>11</v>
      </c>
      <c r="B17" s="42" t="str">
        <f>'جدول رقم 2'!B37</f>
        <v>Payments for Governmental Institutions</v>
      </c>
      <c r="C17" s="42" t="s">
        <v>85</v>
      </c>
    </row>
    <row r="18" spans="1:3" s="38" customFormat="1" ht="29">
      <c r="A18" s="41">
        <v>12</v>
      </c>
      <c r="B18" s="42" t="str">
        <f>'جدول رقم 2'!B41</f>
        <v>Payments for Purchase of Fixed Assets and long term assets</v>
      </c>
      <c r="C18" s="42" t="s">
        <v>86</v>
      </c>
    </row>
    <row r="19" spans="1:3" s="38" customFormat="1" ht="43.5">
      <c r="A19" s="41">
        <v>13</v>
      </c>
      <c r="B19" s="42" t="str">
        <f>'جدول رقم 2'!B42</f>
        <v>Payments for Purchase of shares, securties and current/new investments</v>
      </c>
      <c r="C19" s="42" t="s">
        <v>87</v>
      </c>
    </row>
    <row r="20" spans="1:3" s="38" customFormat="1" ht="29">
      <c r="A20" s="41">
        <v>14</v>
      </c>
      <c r="B20" s="42" t="s">
        <v>9</v>
      </c>
      <c r="C20" s="42" t="s">
        <v>94</v>
      </c>
    </row>
    <row r="21" spans="1:3" s="38" customFormat="1">
      <c r="A21" s="41">
        <v>15</v>
      </c>
      <c r="B21" s="42" t="s">
        <v>12</v>
      </c>
      <c r="C21" s="42" t="s">
        <v>88</v>
      </c>
    </row>
    <row r="22" spans="1:3" s="38" customFormat="1">
      <c r="A22" s="41">
        <v>16</v>
      </c>
      <c r="B22" s="42" t="str">
        <f>'جدول رقم 2'!B47</f>
        <v>Payments for Shareholders</v>
      </c>
      <c r="C22" s="42" t="s">
        <v>89</v>
      </c>
    </row>
    <row r="24" spans="1:3">
      <c r="A24" s="43" t="s">
        <v>95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74A3D-82BF-4120-8284-B2648D2CB967}">
  <sheetPr codeName="Sheet3">
    <pageSetUpPr fitToPage="1"/>
  </sheetPr>
  <dimension ref="B1:AC62"/>
  <sheetViews>
    <sheetView view="pageBreakPreview" topLeftCell="A13" zoomScale="39" zoomScaleNormal="100" zoomScaleSheetLayoutView="39" workbookViewId="0">
      <selection activeCell="P42" sqref="P42"/>
    </sheetView>
  </sheetViews>
  <sheetFormatPr defaultColWidth="9.1796875" defaultRowHeight="14"/>
  <cols>
    <col min="1" max="1" width="2.1796875" style="1" customWidth="1"/>
    <col min="2" max="2" width="63.7265625" style="1" customWidth="1"/>
    <col min="3" max="3" width="15.81640625" style="11" customWidth="1"/>
    <col min="4" max="5" width="16.1796875" style="1" customWidth="1"/>
    <col min="6" max="6" width="16.54296875" style="1" customWidth="1"/>
    <col min="7" max="7" width="16" style="1" customWidth="1"/>
    <col min="8" max="8" width="17" style="1" customWidth="1"/>
    <col min="9" max="9" width="20" style="1" customWidth="1"/>
    <col min="10" max="10" width="16.453125" style="1" customWidth="1"/>
    <col min="11" max="12" width="16.26953125" style="1" customWidth="1"/>
    <col min="13" max="13" width="17.7265625" style="11" customWidth="1"/>
    <col min="14" max="14" width="17.54296875" style="11" customWidth="1"/>
    <col min="15" max="15" width="16.26953125" style="11" customWidth="1"/>
    <col min="16" max="16" width="19.453125" style="11" customWidth="1"/>
    <col min="17" max="17" width="68" style="1" customWidth="1"/>
    <col min="18" max="18" width="10.54296875" style="1" bestFit="1" customWidth="1"/>
    <col min="19" max="16384" width="9.1796875" style="1"/>
  </cols>
  <sheetData>
    <row r="1" spans="2:29" s="12" customFormat="1">
      <c r="B1" s="12" t="s">
        <v>0</v>
      </c>
      <c r="C1" s="15"/>
      <c r="M1" s="15"/>
      <c r="N1" s="15"/>
      <c r="O1" s="15"/>
      <c r="P1" s="15"/>
      <c r="Q1" s="12" t="s">
        <v>32</v>
      </c>
    </row>
    <row r="2" spans="2:29" s="12" customFormat="1">
      <c r="B2" s="12" t="s">
        <v>66</v>
      </c>
      <c r="C2" s="15"/>
      <c r="M2" s="15"/>
      <c r="N2" s="15"/>
      <c r="O2" s="15"/>
      <c r="P2" s="15"/>
      <c r="Q2" s="12" t="s">
        <v>65</v>
      </c>
    </row>
    <row r="3" spans="2:29" s="12" customFormat="1" ht="20">
      <c r="B3" s="12" t="s">
        <v>67</v>
      </c>
      <c r="C3" s="15"/>
      <c r="D3" s="2"/>
      <c r="E3" s="2"/>
      <c r="F3" s="2"/>
      <c r="M3" s="15"/>
      <c r="N3" s="15"/>
      <c r="O3" s="15"/>
      <c r="P3" s="15"/>
      <c r="Q3" s="12" t="s">
        <v>96</v>
      </c>
    </row>
    <row r="4" spans="2:29" s="12" customFormat="1" ht="20">
      <c r="B4" s="12" t="s">
        <v>16</v>
      </c>
      <c r="C4" s="56" t="s">
        <v>97</v>
      </c>
      <c r="D4" s="56"/>
      <c r="E4" s="56"/>
      <c r="F4" s="56"/>
      <c r="G4" s="56"/>
      <c r="H4" s="56"/>
      <c r="M4" s="15"/>
      <c r="N4" s="15"/>
      <c r="O4" s="15"/>
      <c r="P4" s="15"/>
      <c r="Q4" s="12" t="s">
        <v>33</v>
      </c>
    </row>
    <row r="5" spans="2:29" s="12" customFormat="1" ht="20">
      <c r="C5" s="15"/>
      <c r="D5" s="19"/>
      <c r="E5" s="19"/>
      <c r="F5" s="19"/>
      <c r="G5" s="19"/>
      <c r="H5" s="19"/>
      <c r="I5" s="19"/>
      <c r="J5" s="19"/>
      <c r="M5" s="15"/>
      <c r="N5" s="15"/>
      <c r="O5" s="15"/>
      <c r="P5" s="15"/>
    </row>
    <row r="6" spans="2:29">
      <c r="D6" s="15" t="s">
        <v>3</v>
      </c>
      <c r="E6" s="15" t="s">
        <v>3</v>
      </c>
      <c r="F6" s="15" t="s">
        <v>3</v>
      </c>
      <c r="G6" s="15" t="s">
        <v>3</v>
      </c>
      <c r="H6" s="15" t="s">
        <v>3</v>
      </c>
      <c r="I6" s="15" t="s">
        <v>3</v>
      </c>
      <c r="J6" s="15" t="s">
        <v>3</v>
      </c>
      <c r="K6" s="15" t="s">
        <v>3</v>
      </c>
      <c r="L6" s="15" t="s">
        <v>3</v>
      </c>
      <c r="M6" s="15" t="s">
        <v>4</v>
      </c>
      <c r="N6" s="15" t="s">
        <v>4</v>
      </c>
      <c r="O6" s="15" t="s">
        <v>4</v>
      </c>
      <c r="P6" s="15" t="s">
        <v>4</v>
      </c>
      <c r="Q6" s="36"/>
    </row>
    <row r="7" spans="2:29">
      <c r="D7" s="15" t="s">
        <v>68</v>
      </c>
      <c r="E7" s="15" t="s">
        <v>68</v>
      </c>
      <c r="F7" s="15" t="s">
        <v>68</v>
      </c>
      <c r="G7" s="15" t="s">
        <v>68</v>
      </c>
      <c r="H7" s="15" t="s">
        <v>68</v>
      </c>
      <c r="I7" s="15" t="s">
        <v>68</v>
      </c>
      <c r="J7" s="15" t="s">
        <v>68</v>
      </c>
      <c r="K7" s="15" t="s">
        <v>68</v>
      </c>
      <c r="L7" s="15" t="s">
        <v>68</v>
      </c>
      <c r="M7" s="15" t="s">
        <v>69</v>
      </c>
      <c r="N7" s="15" t="s">
        <v>69</v>
      </c>
      <c r="O7" s="15" t="s">
        <v>69</v>
      </c>
      <c r="P7" s="15" t="s">
        <v>69</v>
      </c>
      <c r="Q7" s="28"/>
    </row>
    <row r="8" spans="2:29" s="11" customFormat="1">
      <c r="B8" s="57" t="s">
        <v>72</v>
      </c>
      <c r="C8" s="8" t="s">
        <v>1</v>
      </c>
      <c r="D8" s="9">
        <v>44927</v>
      </c>
      <c r="E8" s="9">
        <v>44958</v>
      </c>
      <c r="F8" s="9">
        <v>44986</v>
      </c>
      <c r="G8" s="9">
        <v>45017</v>
      </c>
      <c r="H8" s="9">
        <v>45047</v>
      </c>
      <c r="I8" s="9">
        <v>45078</v>
      </c>
      <c r="J8" s="9">
        <v>45108</v>
      </c>
      <c r="K8" s="9">
        <v>45139</v>
      </c>
      <c r="L8" s="9">
        <v>45170</v>
      </c>
      <c r="M8" s="9">
        <v>45200</v>
      </c>
      <c r="N8" s="9">
        <v>45231</v>
      </c>
      <c r="O8" s="9">
        <v>45261</v>
      </c>
      <c r="P8" s="9" t="s">
        <v>5</v>
      </c>
      <c r="Q8" s="8"/>
      <c r="R8" s="10"/>
      <c r="S8" s="10"/>
      <c r="T8" s="10"/>
      <c r="U8" s="10"/>
      <c r="V8" s="10"/>
      <c r="W8" s="10"/>
      <c r="X8" s="10"/>
      <c r="Y8" s="10"/>
      <c r="Z8" s="10"/>
      <c r="AA8" s="10"/>
      <c r="AB8" s="10"/>
      <c r="AC8" s="10"/>
    </row>
    <row r="9" spans="2:29" s="11" customFormat="1">
      <c r="B9" s="58"/>
      <c r="C9" s="8" t="s">
        <v>63</v>
      </c>
      <c r="D9" s="9" t="s">
        <v>102</v>
      </c>
      <c r="E9" s="9" t="s">
        <v>103</v>
      </c>
      <c r="F9" s="9" t="s">
        <v>104</v>
      </c>
      <c r="G9" s="9" t="s">
        <v>105</v>
      </c>
      <c r="H9" s="9" t="s">
        <v>106</v>
      </c>
      <c r="I9" s="9" t="s">
        <v>107</v>
      </c>
      <c r="J9" s="9" t="s">
        <v>108</v>
      </c>
      <c r="K9" s="9" t="s">
        <v>109</v>
      </c>
      <c r="L9" s="9" t="s">
        <v>110</v>
      </c>
      <c r="M9" s="9" t="s">
        <v>111</v>
      </c>
      <c r="N9" s="9" t="s">
        <v>112</v>
      </c>
      <c r="O9" s="9" t="s">
        <v>113</v>
      </c>
      <c r="P9" s="9" t="s">
        <v>64</v>
      </c>
      <c r="Q9" s="8"/>
      <c r="R9" s="10"/>
      <c r="S9" s="10"/>
      <c r="T9" s="10"/>
      <c r="U9" s="10"/>
      <c r="V9" s="10"/>
      <c r="W9" s="10"/>
      <c r="X9" s="10"/>
      <c r="Y9" s="10"/>
      <c r="Z9" s="10"/>
      <c r="AA9" s="10"/>
      <c r="AB9" s="10"/>
      <c r="AC9" s="10"/>
    </row>
    <row r="10" spans="2:29">
      <c r="B10" s="3" t="s">
        <v>62</v>
      </c>
      <c r="C10" s="26">
        <v>1</v>
      </c>
      <c r="D10" s="16">
        <v>60636404.82</v>
      </c>
      <c r="E10" s="6">
        <f>D53</f>
        <v>68653993.819999993</v>
      </c>
      <c r="F10" s="6">
        <f>E53</f>
        <v>55812704.620000035</v>
      </c>
      <c r="G10" s="6">
        <f>F53</f>
        <v>61572808.160000056</v>
      </c>
      <c r="H10" s="6">
        <f>G53</f>
        <v>61572808.160000056</v>
      </c>
      <c r="I10" s="6">
        <f>H53</f>
        <v>61572808.160000056</v>
      </c>
      <c r="J10" s="6">
        <f t="shared" ref="J10:N10" si="0">I53</f>
        <v>61572808.160000056</v>
      </c>
      <c r="K10" s="6">
        <f t="shared" si="0"/>
        <v>61572808.160000056</v>
      </c>
      <c r="L10" s="6">
        <f t="shared" si="0"/>
        <v>61572808.160000056</v>
      </c>
      <c r="M10" s="6">
        <f t="shared" si="0"/>
        <v>61572808.160000056</v>
      </c>
      <c r="N10" s="6">
        <f t="shared" si="0"/>
        <v>61572808.160000056</v>
      </c>
      <c r="O10" s="6">
        <f>N53</f>
        <v>61572808.160000056</v>
      </c>
      <c r="P10" s="6">
        <f>D10</f>
        <v>60636404.82</v>
      </c>
      <c r="Q10" s="27" t="s">
        <v>61</v>
      </c>
      <c r="R10" s="4"/>
    </row>
    <row r="11" spans="2:29">
      <c r="B11" s="5"/>
      <c r="C11" s="14"/>
      <c r="D11" s="7"/>
      <c r="E11" s="7"/>
      <c r="F11" s="7"/>
      <c r="G11" s="7"/>
      <c r="H11" s="7"/>
      <c r="I11" s="7"/>
      <c r="J11" s="7"/>
      <c r="K11" s="7"/>
      <c r="L11" s="7"/>
      <c r="M11" s="7"/>
      <c r="N11" s="7"/>
      <c r="O11" s="7"/>
      <c r="P11" s="7"/>
      <c r="Q11" s="17"/>
      <c r="R11" s="4"/>
    </row>
    <row r="12" spans="2:29">
      <c r="B12" s="17" t="s">
        <v>2</v>
      </c>
      <c r="C12" s="14"/>
      <c r="D12" s="7"/>
      <c r="E12" s="7"/>
      <c r="F12" s="7"/>
      <c r="G12" s="7"/>
      <c r="H12" s="7"/>
      <c r="I12" s="7"/>
      <c r="J12" s="7"/>
      <c r="K12" s="7"/>
      <c r="L12" s="7"/>
      <c r="M12" s="7"/>
      <c r="N12" s="7"/>
      <c r="O12" s="7"/>
      <c r="P12" s="7"/>
      <c r="Q12" s="30" t="s">
        <v>41</v>
      </c>
      <c r="R12" s="4"/>
    </row>
    <row r="13" spans="2:29">
      <c r="B13" s="18"/>
      <c r="C13" s="14"/>
      <c r="D13" s="7"/>
      <c r="E13" s="7"/>
      <c r="F13" s="7"/>
      <c r="G13" s="7"/>
      <c r="H13" s="7"/>
      <c r="I13" s="7"/>
      <c r="J13" s="7"/>
      <c r="K13" s="7"/>
      <c r="L13" s="7"/>
      <c r="M13" s="7"/>
      <c r="N13" s="7"/>
      <c r="O13" s="7"/>
      <c r="P13" s="7"/>
      <c r="Q13" s="20"/>
      <c r="R13" s="4"/>
    </row>
    <row r="14" spans="2:29" s="23" customFormat="1">
      <c r="B14" s="20" t="s">
        <v>15</v>
      </c>
      <c r="C14" s="21"/>
      <c r="D14" s="22"/>
      <c r="E14" s="22"/>
      <c r="F14" s="22"/>
      <c r="G14" s="22"/>
      <c r="H14" s="22"/>
      <c r="I14" s="22"/>
      <c r="J14" s="22"/>
      <c r="K14" s="22"/>
      <c r="L14" s="22"/>
      <c r="M14" s="22"/>
      <c r="N14" s="22"/>
      <c r="O14" s="22"/>
      <c r="P14" s="22"/>
      <c r="Q14" s="31" t="s">
        <v>34</v>
      </c>
      <c r="R14" s="24"/>
    </row>
    <row r="15" spans="2:29" ht="28">
      <c r="B15" s="33" t="s">
        <v>30</v>
      </c>
      <c r="C15" s="14">
        <v>2</v>
      </c>
      <c r="D15" s="16">
        <v>95996</v>
      </c>
      <c r="E15" s="16">
        <v>5096467.12</v>
      </c>
      <c r="F15" s="16">
        <v>3267486.2</v>
      </c>
      <c r="G15" s="16">
        <v>0</v>
      </c>
      <c r="H15" s="16">
        <v>0</v>
      </c>
      <c r="I15" s="16">
        <v>0</v>
      </c>
      <c r="J15" s="16">
        <v>0</v>
      </c>
      <c r="K15" s="16">
        <v>0</v>
      </c>
      <c r="L15" s="16">
        <v>0</v>
      </c>
      <c r="M15" s="16">
        <v>0</v>
      </c>
      <c r="N15" s="16">
        <v>0</v>
      </c>
      <c r="O15" s="16">
        <v>0</v>
      </c>
      <c r="P15" s="7">
        <f>SUM(D15:O15)</f>
        <v>8459949.3200000003</v>
      </c>
      <c r="Q15" s="35" t="s">
        <v>42</v>
      </c>
      <c r="R15" s="4"/>
    </row>
    <row r="16" spans="2:29" ht="25.5" customHeight="1">
      <c r="B16" s="18" t="s">
        <v>75</v>
      </c>
      <c r="C16" s="14">
        <v>3</v>
      </c>
      <c r="D16" s="16">
        <v>2351495</v>
      </c>
      <c r="E16" s="16">
        <v>12604036.24</v>
      </c>
      <c r="F16" s="16">
        <v>50147431.049999997</v>
      </c>
      <c r="G16" s="16">
        <v>0</v>
      </c>
      <c r="H16" s="16">
        <v>0</v>
      </c>
      <c r="I16" s="16">
        <v>0</v>
      </c>
      <c r="J16" s="16">
        <v>0</v>
      </c>
      <c r="K16" s="16">
        <v>0</v>
      </c>
      <c r="L16" s="16">
        <v>0</v>
      </c>
      <c r="M16" s="16">
        <v>0</v>
      </c>
      <c r="N16" s="16">
        <v>0</v>
      </c>
      <c r="O16" s="16">
        <v>0</v>
      </c>
      <c r="P16" s="7">
        <f>SUM(D16:O16)</f>
        <v>65102962.289999999</v>
      </c>
      <c r="Q16" s="32" t="s">
        <v>44</v>
      </c>
      <c r="R16" s="4"/>
    </row>
    <row r="17" spans="2:23">
      <c r="B17" s="18" t="s">
        <v>22</v>
      </c>
      <c r="C17" s="14">
        <v>4</v>
      </c>
      <c r="D17" s="16">
        <v>0</v>
      </c>
      <c r="E17" s="16">
        <v>0</v>
      </c>
      <c r="F17" s="16">
        <v>0</v>
      </c>
      <c r="G17" s="16">
        <v>0</v>
      </c>
      <c r="H17" s="16">
        <v>0</v>
      </c>
      <c r="I17" s="16">
        <v>0</v>
      </c>
      <c r="J17" s="16">
        <v>0</v>
      </c>
      <c r="K17" s="16">
        <v>0</v>
      </c>
      <c r="L17" s="16">
        <v>0</v>
      </c>
      <c r="M17" s="16">
        <v>0</v>
      </c>
      <c r="N17" s="16">
        <v>0</v>
      </c>
      <c r="O17" s="16">
        <v>0</v>
      </c>
      <c r="P17" s="7">
        <f>SUM(D17:O17)</f>
        <v>0</v>
      </c>
      <c r="Q17" s="29" t="s">
        <v>35</v>
      </c>
      <c r="R17" s="4"/>
    </row>
    <row r="18" spans="2:23">
      <c r="B18" s="18"/>
      <c r="C18" s="14"/>
      <c r="D18" s="7"/>
      <c r="E18" s="7"/>
      <c r="F18" s="7"/>
      <c r="G18" s="7"/>
      <c r="H18" s="7"/>
      <c r="I18" s="7"/>
      <c r="J18" s="7"/>
      <c r="K18" s="7"/>
      <c r="L18" s="7"/>
      <c r="M18" s="7"/>
      <c r="N18" s="7"/>
      <c r="O18" s="7"/>
      <c r="P18" s="7"/>
      <c r="Q18" s="20"/>
      <c r="R18" s="4"/>
    </row>
    <row r="19" spans="2:23">
      <c r="B19" s="20" t="s">
        <v>17</v>
      </c>
      <c r="C19" s="14"/>
      <c r="D19" s="7"/>
      <c r="E19" s="7"/>
      <c r="F19" s="7"/>
      <c r="G19" s="7"/>
      <c r="H19" s="7"/>
      <c r="I19" s="7"/>
      <c r="J19" s="7"/>
      <c r="K19" s="7"/>
      <c r="L19" s="7"/>
      <c r="M19" s="7"/>
      <c r="N19" s="7"/>
      <c r="O19" s="7"/>
      <c r="P19" s="7"/>
      <c r="Q19" s="31" t="s">
        <v>36</v>
      </c>
      <c r="R19" s="4"/>
    </row>
    <row r="20" spans="2:23">
      <c r="B20" s="18" t="s">
        <v>18</v>
      </c>
      <c r="C20" s="14">
        <v>5</v>
      </c>
      <c r="D20" s="16"/>
      <c r="E20" s="16"/>
      <c r="F20" s="16"/>
      <c r="G20" s="16"/>
      <c r="H20" s="16"/>
      <c r="I20" s="16"/>
      <c r="J20" s="16"/>
      <c r="K20" s="16"/>
      <c r="L20" s="16"/>
      <c r="M20" s="16"/>
      <c r="N20" s="16"/>
      <c r="O20" s="16"/>
      <c r="P20" s="7">
        <f>SUM(D20:O20)</f>
        <v>0</v>
      </c>
      <c r="Q20" s="29" t="s">
        <v>43</v>
      </c>
      <c r="R20" s="4"/>
    </row>
    <row r="21" spans="2:23" ht="28">
      <c r="B21" s="33" t="s">
        <v>76</v>
      </c>
      <c r="C21" s="14">
        <v>6</v>
      </c>
      <c r="D21" s="16">
        <v>0</v>
      </c>
      <c r="E21" s="16">
        <v>0</v>
      </c>
      <c r="F21" s="16">
        <v>0</v>
      </c>
      <c r="G21" s="16">
        <v>0</v>
      </c>
      <c r="H21" s="16">
        <v>0</v>
      </c>
      <c r="I21" s="16">
        <v>0</v>
      </c>
      <c r="J21" s="16">
        <v>0</v>
      </c>
      <c r="K21" s="16">
        <v>0</v>
      </c>
      <c r="L21" s="16">
        <v>0</v>
      </c>
      <c r="M21" s="16">
        <v>0</v>
      </c>
      <c r="N21" s="16">
        <v>0</v>
      </c>
      <c r="O21" s="16">
        <v>0</v>
      </c>
      <c r="P21" s="7">
        <f>SUM(D21:O21)</f>
        <v>0</v>
      </c>
      <c r="Q21" s="32" t="s">
        <v>45</v>
      </c>
      <c r="R21" s="4"/>
    </row>
    <row r="22" spans="2:23">
      <c r="B22" s="18"/>
      <c r="C22" s="14"/>
      <c r="D22" s="7"/>
      <c r="E22" s="7"/>
      <c r="F22" s="7"/>
      <c r="G22" s="7"/>
      <c r="H22" s="7"/>
      <c r="I22" s="7"/>
      <c r="J22" s="7"/>
      <c r="K22" s="7"/>
      <c r="L22" s="7"/>
      <c r="M22" s="7"/>
      <c r="N22" s="7"/>
      <c r="O22" s="7"/>
      <c r="P22" s="7"/>
      <c r="Q22" s="44"/>
      <c r="R22" s="4"/>
    </row>
    <row r="23" spans="2:23">
      <c r="B23" s="20" t="s">
        <v>19</v>
      </c>
      <c r="C23" s="14"/>
      <c r="D23" s="7"/>
      <c r="E23" s="7"/>
      <c r="F23" s="7"/>
      <c r="G23" s="7"/>
      <c r="H23" s="7"/>
      <c r="I23" s="7"/>
      <c r="J23" s="7"/>
      <c r="K23" s="7"/>
      <c r="L23" s="7"/>
      <c r="M23" s="7"/>
      <c r="N23" s="7"/>
      <c r="O23" s="7"/>
      <c r="P23" s="7"/>
      <c r="Q23" s="31" t="s">
        <v>39</v>
      </c>
      <c r="R23" s="4"/>
    </row>
    <row r="24" spans="2:23">
      <c r="B24" s="18" t="s">
        <v>21</v>
      </c>
      <c r="C24" s="14">
        <v>7</v>
      </c>
      <c r="D24" s="16">
        <v>0</v>
      </c>
      <c r="E24" s="16">
        <v>0</v>
      </c>
      <c r="F24" s="16">
        <v>0</v>
      </c>
      <c r="G24" s="16">
        <v>0</v>
      </c>
      <c r="H24" s="16">
        <v>0</v>
      </c>
      <c r="I24" s="16">
        <v>0</v>
      </c>
      <c r="J24" s="16"/>
      <c r="K24" s="16"/>
      <c r="L24" s="16">
        <v>0</v>
      </c>
      <c r="M24" s="16">
        <v>0</v>
      </c>
      <c r="N24" s="16"/>
      <c r="O24" s="16"/>
      <c r="P24" s="7">
        <f>SUM(D24:O24)</f>
        <v>0</v>
      </c>
      <c r="Q24" s="29" t="s">
        <v>46</v>
      </c>
      <c r="R24" s="4"/>
    </row>
    <row r="25" spans="2:23">
      <c r="B25" s="18" t="s">
        <v>20</v>
      </c>
      <c r="C25" s="14"/>
      <c r="D25" s="59" t="s">
        <v>82</v>
      </c>
      <c r="E25" s="60"/>
      <c r="F25" s="60"/>
      <c r="G25" s="60"/>
      <c r="H25" s="60"/>
      <c r="I25" s="60"/>
      <c r="J25" s="60"/>
      <c r="K25" s="60"/>
      <c r="L25" s="60"/>
      <c r="M25" s="60"/>
      <c r="N25" s="60"/>
      <c r="O25" s="61"/>
      <c r="P25" s="7">
        <f>SUM(D25:O25)</f>
        <v>0</v>
      </c>
      <c r="Q25" s="29" t="s">
        <v>47</v>
      </c>
      <c r="R25" s="4"/>
    </row>
    <row r="26" spans="2:23">
      <c r="B26" s="18" t="s">
        <v>101</v>
      </c>
      <c r="C26" s="14"/>
      <c r="D26" s="7"/>
      <c r="E26" s="7"/>
      <c r="F26" s="7"/>
      <c r="G26" s="7">
        <v>0</v>
      </c>
      <c r="H26" s="7"/>
      <c r="I26" s="7">
        <v>0</v>
      </c>
      <c r="J26" s="7"/>
      <c r="K26" s="7"/>
      <c r="L26" s="7"/>
      <c r="M26" s="7">
        <v>0</v>
      </c>
      <c r="N26" s="7"/>
      <c r="O26" s="7">
        <v>0</v>
      </c>
      <c r="P26" s="7"/>
      <c r="Q26" s="29" t="s">
        <v>100</v>
      </c>
      <c r="R26" s="4"/>
    </row>
    <row r="27" spans="2:23">
      <c r="B27" s="20" t="s">
        <v>28</v>
      </c>
      <c r="C27" s="14"/>
      <c r="D27" s="16">
        <f>(6800000+545787692)</f>
        <v>552587692</v>
      </c>
      <c r="E27" s="16">
        <f>(1074573.8+221796819.81)</f>
        <v>222871393.61000001</v>
      </c>
      <c r="F27" s="16">
        <f>(3000000+333389569.75)</f>
        <v>336389569.75</v>
      </c>
      <c r="G27" s="16">
        <v>0</v>
      </c>
      <c r="H27" s="16">
        <v>0</v>
      </c>
      <c r="I27" s="16">
        <v>0</v>
      </c>
      <c r="J27" s="16">
        <v>0</v>
      </c>
      <c r="K27" s="16">
        <v>0</v>
      </c>
      <c r="L27" s="16">
        <v>0</v>
      </c>
      <c r="M27" s="16">
        <v>0</v>
      </c>
      <c r="N27" s="16">
        <v>0</v>
      </c>
      <c r="O27" s="16">
        <v>0</v>
      </c>
      <c r="P27" s="7">
        <f t="shared" ref="P27" si="1">SUM(D27:O27)</f>
        <v>1111848655.3600001</v>
      </c>
      <c r="Q27" s="31" t="s">
        <v>37</v>
      </c>
      <c r="R27" s="4"/>
    </row>
    <row r="28" spans="2:23">
      <c r="B28" s="20"/>
      <c r="C28" s="14"/>
      <c r="D28" s="7"/>
      <c r="E28" s="7"/>
      <c r="F28" s="7"/>
      <c r="G28" s="7"/>
      <c r="H28" s="7"/>
      <c r="I28" s="7"/>
      <c r="J28" s="7"/>
      <c r="K28" s="7"/>
      <c r="L28" s="7"/>
      <c r="M28" s="7"/>
      <c r="N28" s="7"/>
      <c r="O28" s="7"/>
      <c r="P28" s="7"/>
      <c r="Q28" s="17"/>
      <c r="R28" s="4"/>
    </row>
    <row r="29" spans="2:23">
      <c r="B29" s="3" t="s">
        <v>13</v>
      </c>
      <c r="C29" s="13"/>
      <c r="D29" s="6">
        <f>SUM(D15:D28)</f>
        <v>555035183</v>
      </c>
      <c r="E29" s="6">
        <f t="shared" ref="E29:F29" si="2">SUM(E15:E28)</f>
        <v>240571896.97000003</v>
      </c>
      <c r="F29" s="6">
        <f t="shared" si="2"/>
        <v>389804487</v>
      </c>
      <c r="G29" s="6">
        <f t="shared" ref="G29:P29" si="3">SUM(G15:G28)</f>
        <v>0</v>
      </c>
      <c r="H29" s="6">
        <f t="shared" si="3"/>
        <v>0</v>
      </c>
      <c r="I29" s="6">
        <f t="shared" si="3"/>
        <v>0</v>
      </c>
      <c r="J29" s="6">
        <f t="shared" si="3"/>
        <v>0</v>
      </c>
      <c r="K29" s="6">
        <f t="shared" si="3"/>
        <v>0</v>
      </c>
      <c r="L29" s="6">
        <f t="shared" si="3"/>
        <v>0</v>
      </c>
      <c r="M29" s="6">
        <f t="shared" si="3"/>
        <v>0</v>
      </c>
      <c r="N29" s="6">
        <f t="shared" si="3"/>
        <v>0</v>
      </c>
      <c r="O29" s="6">
        <f t="shared" si="3"/>
        <v>0</v>
      </c>
      <c r="P29" s="6">
        <f t="shared" si="3"/>
        <v>1185411566.97</v>
      </c>
      <c r="Q29" s="27" t="s">
        <v>48</v>
      </c>
      <c r="R29" s="4"/>
    </row>
    <row r="30" spans="2:23">
      <c r="B30" s="17"/>
      <c r="C30" s="25"/>
      <c r="D30" s="7"/>
      <c r="E30" s="7"/>
      <c r="F30" s="7"/>
      <c r="G30" s="7"/>
      <c r="H30" s="7"/>
      <c r="I30" s="7"/>
      <c r="J30" s="7"/>
      <c r="K30" s="7"/>
      <c r="L30" s="7"/>
      <c r="M30" s="7"/>
      <c r="N30" s="7"/>
      <c r="O30" s="7"/>
      <c r="P30" s="7"/>
      <c r="Q30" s="17"/>
      <c r="R30" s="4"/>
    </row>
    <row r="31" spans="2:23">
      <c r="B31" s="17" t="s">
        <v>7</v>
      </c>
      <c r="C31" s="14"/>
      <c r="D31" s="7"/>
      <c r="E31" s="7"/>
      <c r="F31" s="7"/>
      <c r="G31" s="7"/>
      <c r="H31" s="7"/>
      <c r="I31" s="7"/>
      <c r="J31" s="7"/>
      <c r="K31" s="7"/>
      <c r="L31" s="7"/>
      <c r="M31" s="7"/>
      <c r="N31" s="7"/>
      <c r="O31" s="7"/>
      <c r="P31" s="7"/>
      <c r="Q31" s="30" t="s">
        <v>49</v>
      </c>
      <c r="R31" s="4"/>
      <c r="S31" s="4"/>
      <c r="T31" s="4"/>
      <c r="U31" s="4"/>
      <c r="V31" s="4"/>
      <c r="W31" s="4"/>
    </row>
    <row r="32" spans="2:23">
      <c r="B32" s="18"/>
      <c r="C32" s="14"/>
      <c r="D32" s="7"/>
      <c r="E32" s="7"/>
      <c r="F32" s="7"/>
      <c r="G32" s="7"/>
      <c r="H32" s="7"/>
      <c r="I32" s="7"/>
      <c r="J32" s="7"/>
      <c r="K32" s="7"/>
      <c r="L32" s="7"/>
      <c r="M32" s="7"/>
      <c r="N32" s="7"/>
      <c r="O32" s="7"/>
      <c r="P32" s="7"/>
      <c r="Q32" s="20"/>
      <c r="R32" s="4"/>
    </row>
    <row r="33" spans="2:18" s="23" customFormat="1">
      <c r="B33" s="20" t="s">
        <v>23</v>
      </c>
      <c r="C33" s="21"/>
      <c r="D33" s="22"/>
      <c r="E33" s="22"/>
      <c r="F33" s="22"/>
      <c r="G33" s="22"/>
      <c r="H33" s="22"/>
      <c r="I33" s="22"/>
      <c r="J33" s="22"/>
      <c r="K33" s="22"/>
      <c r="L33" s="22"/>
      <c r="M33" s="22"/>
      <c r="N33" s="22"/>
      <c r="O33" s="22"/>
      <c r="P33" s="22"/>
      <c r="Q33" s="31" t="s">
        <v>34</v>
      </c>
      <c r="R33" s="24"/>
    </row>
    <row r="34" spans="2:18">
      <c r="B34" s="5" t="s">
        <v>24</v>
      </c>
      <c r="C34" s="14"/>
      <c r="D34" s="16">
        <v>-19882972</v>
      </c>
      <c r="E34" s="16">
        <v>-7285868.3499999996</v>
      </c>
      <c r="F34" s="16">
        <v>-13700307.550000001</v>
      </c>
      <c r="G34" s="16">
        <v>0</v>
      </c>
      <c r="H34" s="16">
        <v>0</v>
      </c>
      <c r="I34" s="16">
        <v>0</v>
      </c>
      <c r="J34" s="16">
        <v>0</v>
      </c>
      <c r="K34" s="16">
        <v>0</v>
      </c>
      <c r="L34" s="16">
        <v>0</v>
      </c>
      <c r="M34" s="16">
        <v>0</v>
      </c>
      <c r="N34" s="16">
        <v>0</v>
      </c>
      <c r="O34" s="16">
        <v>0</v>
      </c>
      <c r="P34" s="7">
        <f>SUM(D34:O34)</f>
        <v>-40869147.900000006</v>
      </c>
      <c r="Q34" s="29" t="s">
        <v>50</v>
      </c>
      <c r="R34" s="4"/>
    </row>
    <row r="35" spans="2:18">
      <c r="B35" s="5" t="s">
        <v>25</v>
      </c>
      <c r="C35" s="14"/>
      <c r="D35" s="16">
        <v>-2972007</v>
      </c>
      <c r="E35" s="16">
        <v>-2125766.02</v>
      </c>
      <c r="F35" s="16">
        <v>-2321023.25</v>
      </c>
      <c r="G35" s="16">
        <v>0</v>
      </c>
      <c r="H35" s="16">
        <v>0</v>
      </c>
      <c r="I35" s="16">
        <v>0</v>
      </c>
      <c r="J35" s="16">
        <v>0</v>
      </c>
      <c r="K35" s="16">
        <v>0</v>
      </c>
      <c r="L35" s="16">
        <v>0</v>
      </c>
      <c r="M35" s="16">
        <v>0</v>
      </c>
      <c r="N35" s="16">
        <v>0</v>
      </c>
      <c r="O35" s="16">
        <v>0</v>
      </c>
      <c r="P35" s="7">
        <f>SUM(D35:O35)</f>
        <v>-7418796.2699999996</v>
      </c>
      <c r="Q35" s="29" t="s">
        <v>51</v>
      </c>
    </row>
    <row r="36" spans="2:18">
      <c r="B36" s="5" t="s">
        <v>8</v>
      </c>
      <c r="C36" s="14"/>
      <c r="D36" s="16">
        <v>-32047367</v>
      </c>
      <c r="E36" s="16">
        <v>-34893488.359999999</v>
      </c>
      <c r="F36" s="16">
        <v>-22077578.539999999</v>
      </c>
      <c r="G36" s="16">
        <v>0</v>
      </c>
      <c r="H36" s="16">
        <v>0</v>
      </c>
      <c r="I36" s="16">
        <v>0</v>
      </c>
      <c r="J36" s="16">
        <v>0</v>
      </c>
      <c r="K36" s="16">
        <v>0</v>
      </c>
      <c r="L36" s="16">
        <v>0</v>
      </c>
      <c r="M36" s="16">
        <v>0</v>
      </c>
      <c r="N36" s="16">
        <v>0</v>
      </c>
      <c r="O36" s="16">
        <v>0</v>
      </c>
      <c r="P36" s="7">
        <f>SUM(D36:O36)</f>
        <v>-89018433.900000006</v>
      </c>
      <c r="Q36" s="29" t="s">
        <v>52</v>
      </c>
    </row>
    <row r="37" spans="2:18">
      <c r="B37" s="5" t="s">
        <v>10</v>
      </c>
      <c r="C37" s="14"/>
      <c r="D37" s="16">
        <v>-297713</v>
      </c>
      <c r="E37" s="16">
        <v>-153630.12</v>
      </c>
      <c r="F37" s="16">
        <v>-167734.87</v>
      </c>
      <c r="G37" s="16">
        <v>0</v>
      </c>
      <c r="H37" s="16">
        <v>0</v>
      </c>
      <c r="I37" s="16">
        <v>0</v>
      </c>
      <c r="J37" s="16">
        <v>0</v>
      </c>
      <c r="K37" s="16">
        <v>0</v>
      </c>
      <c r="L37" s="16">
        <v>0</v>
      </c>
      <c r="M37" s="16">
        <v>0</v>
      </c>
      <c r="N37" s="16">
        <v>0</v>
      </c>
      <c r="O37" s="16">
        <v>0</v>
      </c>
      <c r="P37" s="7">
        <f>SUM(D37:O37)</f>
        <v>-619077.99</v>
      </c>
      <c r="Q37" s="29" t="s">
        <v>53</v>
      </c>
    </row>
    <row r="38" spans="2:18">
      <c r="B38" s="5" t="s">
        <v>31</v>
      </c>
      <c r="C38" s="14"/>
      <c r="D38" s="16">
        <v>0</v>
      </c>
      <c r="E38" s="16">
        <v>0</v>
      </c>
      <c r="F38" s="16">
        <v>0</v>
      </c>
      <c r="G38" s="16">
        <v>0</v>
      </c>
      <c r="H38" s="16">
        <v>0</v>
      </c>
      <c r="I38" s="16">
        <v>0</v>
      </c>
      <c r="J38" s="16">
        <v>0</v>
      </c>
      <c r="K38" s="16">
        <v>0</v>
      </c>
      <c r="L38" s="16">
        <v>0</v>
      </c>
      <c r="M38" s="16">
        <v>0</v>
      </c>
      <c r="N38" s="16">
        <v>0</v>
      </c>
      <c r="O38" s="16">
        <v>0</v>
      </c>
      <c r="P38" s="7">
        <f>SUM(D38:O38)</f>
        <v>0</v>
      </c>
      <c r="Q38" s="29" t="s">
        <v>38</v>
      </c>
    </row>
    <row r="39" spans="2:18">
      <c r="B39" s="5"/>
      <c r="C39" s="14"/>
      <c r="D39" s="7"/>
      <c r="E39" s="7"/>
      <c r="F39" s="7"/>
      <c r="G39" s="7"/>
      <c r="H39" s="7"/>
      <c r="I39" s="7"/>
      <c r="J39" s="7"/>
      <c r="K39" s="7"/>
      <c r="L39" s="7"/>
      <c r="M39" s="7"/>
      <c r="N39" s="7"/>
      <c r="O39" s="7"/>
      <c r="P39" s="7"/>
      <c r="Q39" s="20"/>
    </row>
    <row r="40" spans="2:18">
      <c r="B40" s="20" t="s">
        <v>17</v>
      </c>
      <c r="C40" s="14"/>
      <c r="D40" s="7"/>
      <c r="E40" s="7"/>
      <c r="F40" s="7"/>
      <c r="G40" s="7"/>
      <c r="H40" s="7"/>
      <c r="I40" s="7"/>
      <c r="J40" s="7"/>
      <c r="K40" s="7"/>
      <c r="L40" s="7"/>
      <c r="M40" s="7"/>
      <c r="N40" s="7"/>
      <c r="O40" s="7"/>
      <c r="P40" s="7"/>
      <c r="Q40" s="31" t="s">
        <v>36</v>
      </c>
      <c r="R40" s="4"/>
    </row>
    <row r="41" spans="2:18">
      <c r="B41" s="5" t="s">
        <v>26</v>
      </c>
      <c r="C41" s="14"/>
      <c r="D41" s="16">
        <v>-18216</v>
      </c>
      <c r="E41" s="16">
        <v>-23460</v>
      </c>
      <c r="F41" s="16">
        <v>0</v>
      </c>
      <c r="G41" s="16">
        <v>0</v>
      </c>
      <c r="H41" s="16">
        <v>0</v>
      </c>
      <c r="I41" s="16">
        <v>0</v>
      </c>
      <c r="J41" s="16">
        <v>0</v>
      </c>
      <c r="K41" s="16">
        <v>0</v>
      </c>
      <c r="L41" s="16">
        <v>0</v>
      </c>
      <c r="M41" s="16">
        <v>0</v>
      </c>
      <c r="N41" s="16">
        <v>0</v>
      </c>
      <c r="O41" s="16">
        <v>0</v>
      </c>
      <c r="P41" s="7">
        <f t="shared" ref="P41:P49" si="4">SUM(D41:O41)</f>
        <v>-41676</v>
      </c>
      <c r="Q41" s="32" t="s">
        <v>54</v>
      </c>
    </row>
    <row r="42" spans="2:18" ht="28">
      <c r="B42" s="34" t="s">
        <v>27</v>
      </c>
      <c r="C42" s="14"/>
      <c r="D42" s="16">
        <v>-48875776</v>
      </c>
      <c r="E42" s="16">
        <v>-9379000</v>
      </c>
      <c r="F42" s="16">
        <v>-5335306.42</v>
      </c>
      <c r="G42" s="16">
        <v>0</v>
      </c>
      <c r="H42" s="16">
        <v>0</v>
      </c>
      <c r="I42" s="16">
        <v>0</v>
      </c>
      <c r="J42" s="16">
        <v>0</v>
      </c>
      <c r="K42" s="51">
        <v>0</v>
      </c>
      <c r="L42" s="51">
        <v>0</v>
      </c>
      <c r="M42" s="16">
        <v>0</v>
      </c>
      <c r="N42" s="16">
        <v>0</v>
      </c>
      <c r="O42" s="16">
        <v>0</v>
      </c>
      <c r="P42" s="7">
        <f>SUM(D42:O42)</f>
        <v>-63590082.420000002</v>
      </c>
      <c r="Q42" s="32" t="s">
        <v>55</v>
      </c>
    </row>
    <row r="43" spans="2:18">
      <c r="B43" s="5"/>
      <c r="C43" s="14"/>
      <c r="D43" s="7"/>
      <c r="E43" s="7"/>
      <c r="F43" s="7"/>
      <c r="G43" s="7"/>
      <c r="H43" s="7"/>
      <c r="I43" s="7"/>
      <c r="J43" s="7"/>
      <c r="K43" s="7"/>
      <c r="L43" s="7"/>
      <c r="M43" s="7"/>
      <c r="N43" s="7"/>
      <c r="O43" s="7"/>
      <c r="P43" s="7"/>
      <c r="Q43" s="20"/>
    </row>
    <row r="44" spans="2:18">
      <c r="B44" s="20" t="s">
        <v>19</v>
      </c>
      <c r="C44" s="14"/>
      <c r="D44" s="7"/>
      <c r="E44" s="7"/>
      <c r="F44" s="7"/>
      <c r="G44" s="7"/>
      <c r="H44" s="7"/>
      <c r="I44" s="7"/>
      <c r="J44" s="7"/>
      <c r="K44" s="7"/>
      <c r="L44" s="7"/>
      <c r="M44" s="7"/>
      <c r="N44" s="7"/>
      <c r="O44" s="7"/>
      <c r="P44" s="7"/>
      <c r="Q44" s="31" t="s">
        <v>39</v>
      </c>
      <c r="R44" s="4"/>
    </row>
    <row r="45" spans="2:18">
      <c r="B45" s="5" t="s">
        <v>9</v>
      </c>
      <c r="C45" s="14"/>
      <c r="D45" s="16">
        <v>0</v>
      </c>
      <c r="E45" s="16">
        <v>0</v>
      </c>
      <c r="F45" s="16">
        <v>0</v>
      </c>
      <c r="G45" s="16">
        <v>0</v>
      </c>
      <c r="H45" s="16">
        <v>0</v>
      </c>
      <c r="I45" s="16">
        <v>0</v>
      </c>
      <c r="J45" s="16">
        <v>0</v>
      </c>
      <c r="K45" s="16">
        <v>0</v>
      </c>
      <c r="L45" s="16">
        <v>0</v>
      </c>
      <c r="M45" s="16">
        <v>0</v>
      </c>
      <c r="N45" s="16">
        <v>0</v>
      </c>
      <c r="O45" s="16">
        <v>0</v>
      </c>
      <c r="P45" s="7">
        <f t="shared" si="4"/>
        <v>0</v>
      </c>
      <c r="Q45" s="29" t="s">
        <v>40</v>
      </c>
    </row>
    <row r="46" spans="2:18">
      <c r="B46" s="5" t="s">
        <v>12</v>
      </c>
      <c r="C46" s="14"/>
      <c r="D46" s="16">
        <v>-6795810</v>
      </c>
      <c r="E46" s="16">
        <v>0</v>
      </c>
      <c r="F46" s="16"/>
      <c r="G46" s="16"/>
      <c r="H46" s="16"/>
      <c r="I46" s="16"/>
      <c r="J46" s="16">
        <v>0</v>
      </c>
      <c r="K46" s="16"/>
      <c r="L46" s="16">
        <v>0</v>
      </c>
      <c r="M46" s="16">
        <v>0</v>
      </c>
      <c r="N46" s="16"/>
      <c r="O46" s="16"/>
      <c r="P46" s="7">
        <f>SUM(D46:O46)</f>
        <v>-6795810</v>
      </c>
      <c r="Q46" s="29" t="s">
        <v>56</v>
      </c>
    </row>
    <row r="47" spans="2:18">
      <c r="B47" s="5" t="s">
        <v>11</v>
      </c>
      <c r="C47" s="14"/>
      <c r="D47" s="16">
        <v>49996470</v>
      </c>
      <c r="E47" s="16">
        <v>-779085.82</v>
      </c>
      <c r="F47" s="16">
        <v>700959.68</v>
      </c>
      <c r="G47" s="16">
        <v>0</v>
      </c>
      <c r="H47" s="16">
        <v>0</v>
      </c>
      <c r="I47" s="16">
        <v>0</v>
      </c>
      <c r="J47" s="16">
        <v>0</v>
      </c>
      <c r="K47" s="16">
        <v>0</v>
      </c>
      <c r="L47" s="16">
        <v>0</v>
      </c>
      <c r="M47" s="16">
        <v>0</v>
      </c>
      <c r="N47" s="16">
        <v>0</v>
      </c>
      <c r="O47" s="16">
        <v>0</v>
      </c>
      <c r="P47" s="7">
        <f t="shared" si="4"/>
        <v>49918343.859999999</v>
      </c>
      <c r="Q47" s="29" t="s">
        <v>57</v>
      </c>
    </row>
    <row r="48" spans="2:18">
      <c r="B48" s="5" t="s">
        <v>99</v>
      </c>
      <c r="C48" s="14"/>
      <c r="D48" s="16">
        <v>-32200000</v>
      </c>
      <c r="E48" s="16">
        <v>0</v>
      </c>
      <c r="F48" s="16">
        <v>-30000000</v>
      </c>
      <c r="G48" s="16">
        <v>0</v>
      </c>
      <c r="H48" s="16">
        <v>0</v>
      </c>
      <c r="I48" s="16">
        <v>0</v>
      </c>
      <c r="J48" s="16">
        <v>0</v>
      </c>
      <c r="K48" s="16"/>
      <c r="L48" s="16"/>
      <c r="M48" s="16">
        <v>0</v>
      </c>
      <c r="N48" s="16"/>
      <c r="O48" s="16"/>
      <c r="P48" s="7">
        <f t="shared" si="4"/>
        <v>-62200000</v>
      </c>
      <c r="Q48" s="29" t="s">
        <v>98</v>
      </c>
    </row>
    <row r="49" spans="2:18">
      <c r="B49" s="20" t="s">
        <v>29</v>
      </c>
      <c r="C49" s="14"/>
      <c r="D49" s="16">
        <f>-(13594955+440329248)</f>
        <v>-453924203</v>
      </c>
      <c r="E49" s="16">
        <f>-(47151012.05+151621875.45)</f>
        <v>-198772887.5</v>
      </c>
      <c r="F49" s="16">
        <f>-(14933471.98+296209920.53)</f>
        <v>-311143392.50999999</v>
      </c>
      <c r="G49" s="16">
        <v>0</v>
      </c>
      <c r="H49" s="16">
        <v>0</v>
      </c>
      <c r="I49" s="16">
        <v>0</v>
      </c>
      <c r="J49" s="16">
        <v>0</v>
      </c>
      <c r="K49" s="16">
        <v>0</v>
      </c>
      <c r="L49" s="16">
        <v>0</v>
      </c>
      <c r="M49" s="16">
        <v>0</v>
      </c>
      <c r="N49" s="16">
        <v>0</v>
      </c>
      <c r="O49" s="16">
        <v>0</v>
      </c>
      <c r="P49" s="7">
        <f t="shared" si="4"/>
        <v>-963840483.00999999</v>
      </c>
      <c r="Q49" s="31" t="s">
        <v>58</v>
      </c>
      <c r="R49" s="4"/>
    </row>
    <row r="50" spans="2:18">
      <c r="B50" s="5"/>
      <c r="C50" s="14"/>
      <c r="D50" s="7"/>
      <c r="E50" s="7"/>
      <c r="F50" s="7"/>
      <c r="G50" s="7"/>
      <c r="H50" s="7"/>
      <c r="I50" s="7"/>
      <c r="J50" s="7"/>
      <c r="K50" s="7"/>
      <c r="L50" s="7"/>
      <c r="M50" s="7"/>
      <c r="N50" s="7"/>
      <c r="O50" s="7"/>
      <c r="P50" s="7"/>
      <c r="Q50" s="17"/>
    </row>
    <row r="51" spans="2:18">
      <c r="B51" s="3" t="s">
        <v>14</v>
      </c>
      <c r="C51" s="13"/>
      <c r="D51" s="6">
        <f t="shared" ref="D51:P51" si="5">SUM(D34:D50)</f>
        <v>-547017594</v>
      </c>
      <c r="E51" s="6">
        <f t="shared" si="5"/>
        <v>-253413186.16999999</v>
      </c>
      <c r="F51" s="6">
        <f t="shared" si="5"/>
        <v>-384044383.45999998</v>
      </c>
      <c r="G51" s="6">
        <f t="shared" si="5"/>
        <v>0</v>
      </c>
      <c r="H51" s="6">
        <f t="shared" si="5"/>
        <v>0</v>
      </c>
      <c r="I51" s="6">
        <f t="shared" si="5"/>
        <v>0</v>
      </c>
      <c r="J51" s="6">
        <f t="shared" si="5"/>
        <v>0</v>
      </c>
      <c r="K51" s="6">
        <f t="shared" si="5"/>
        <v>0</v>
      </c>
      <c r="L51" s="6">
        <f t="shared" si="5"/>
        <v>0</v>
      </c>
      <c r="M51" s="6">
        <f t="shared" si="5"/>
        <v>0</v>
      </c>
      <c r="N51" s="6">
        <f t="shared" si="5"/>
        <v>0</v>
      </c>
      <c r="O51" s="6">
        <f t="shared" si="5"/>
        <v>0</v>
      </c>
      <c r="P51" s="6">
        <f t="shared" si="5"/>
        <v>-1184475163.6300001</v>
      </c>
      <c r="Q51" s="27" t="s">
        <v>59</v>
      </c>
    </row>
    <row r="52" spans="2:18">
      <c r="B52" s="3"/>
      <c r="C52" s="13"/>
      <c r="D52" s="6"/>
      <c r="E52" s="6"/>
      <c r="F52" s="6"/>
      <c r="G52" s="6"/>
      <c r="H52" s="6"/>
      <c r="I52" s="6"/>
      <c r="J52" s="6"/>
      <c r="K52" s="6"/>
      <c r="L52" s="6"/>
      <c r="M52" s="6"/>
      <c r="N52" s="6"/>
      <c r="O52" s="6"/>
      <c r="P52" s="6"/>
      <c r="Q52" s="3"/>
    </row>
    <row r="53" spans="2:18">
      <c r="B53" s="3" t="s">
        <v>6</v>
      </c>
      <c r="C53" s="13"/>
      <c r="D53" s="6">
        <f>D29+D51+D10</f>
        <v>68653993.819999993</v>
      </c>
      <c r="E53" s="6">
        <f t="shared" ref="E53:P53" si="6">E29+E51+E10</f>
        <v>55812704.620000035</v>
      </c>
      <c r="F53" s="6">
        <f t="shared" si="6"/>
        <v>61572808.160000056</v>
      </c>
      <c r="G53" s="6">
        <f t="shared" si="6"/>
        <v>61572808.160000056</v>
      </c>
      <c r="H53" s="6">
        <f t="shared" si="6"/>
        <v>61572808.160000056</v>
      </c>
      <c r="I53" s="6">
        <f t="shared" si="6"/>
        <v>61572808.160000056</v>
      </c>
      <c r="J53" s="6">
        <f t="shared" si="6"/>
        <v>61572808.160000056</v>
      </c>
      <c r="K53" s="6">
        <f t="shared" si="6"/>
        <v>61572808.160000056</v>
      </c>
      <c r="L53" s="6">
        <f t="shared" si="6"/>
        <v>61572808.160000056</v>
      </c>
      <c r="M53" s="6">
        <f t="shared" si="6"/>
        <v>61572808.160000056</v>
      </c>
      <c r="N53" s="6">
        <f t="shared" si="6"/>
        <v>61572808.160000056</v>
      </c>
      <c r="O53" s="6">
        <f t="shared" si="6"/>
        <v>61572808.160000056</v>
      </c>
      <c r="P53" s="6">
        <f t="shared" si="6"/>
        <v>61572808.159999914</v>
      </c>
      <c r="Q53" s="27" t="s">
        <v>60</v>
      </c>
    </row>
    <row r="55" spans="2:18" ht="14.5">
      <c r="B55" s="49"/>
      <c r="C55" s="45"/>
      <c r="D55" s="45"/>
      <c r="E55" s="45"/>
      <c r="F55" s="45"/>
      <c r="G55" s="45"/>
      <c r="H55" s="45"/>
      <c r="I55" s="45"/>
      <c r="J55" s="45"/>
      <c r="K55" s="45"/>
      <c r="L55" s="45"/>
      <c r="M55" s="45"/>
      <c r="N55" s="45"/>
      <c r="O55" s="45"/>
    </row>
    <row r="56" spans="2:18" ht="14.5">
      <c r="B56" s="47"/>
      <c r="C56" s="46"/>
      <c r="D56" s="54"/>
      <c r="E56" s="54"/>
      <c r="F56" s="54"/>
      <c r="G56" s="54"/>
      <c r="H56" s="54"/>
      <c r="I56" s="54"/>
      <c r="J56" s="54"/>
      <c r="K56" s="54"/>
      <c r="L56" s="54"/>
      <c r="M56" s="55"/>
      <c r="N56" s="55"/>
      <c r="O56" s="55"/>
      <c r="P56" s="50"/>
    </row>
    <row r="57" spans="2:18" ht="14.5">
      <c r="B57" s="47"/>
      <c r="C57" s="46"/>
      <c r="D57" s="54"/>
      <c r="E57" s="54"/>
      <c r="F57" s="54"/>
      <c r="G57" s="54"/>
      <c r="H57" s="54"/>
      <c r="I57" s="54"/>
      <c r="J57" s="54"/>
      <c r="K57" s="54"/>
      <c r="L57" s="54"/>
      <c r="M57" s="55"/>
      <c r="N57" s="55"/>
      <c r="O57" s="55"/>
      <c r="P57" s="50"/>
    </row>
    <row r="58" spans="2:18" ht="14.5">
      <c r="B58" s="47"/>
      <c r="C58" s="46"/>
      <c r="D58" s="54"/>
      <c r="E58" s="54"/>
      <c r="F58" s="54"/>
      <c r="G58" s="54"/>
      <c r="H58" s="54"/>
      <c r="I58" s="54"/>
      <c r="J58" s="54"/>
      <c r="K58" s="54"/>
      <c r="L58" s="54"/>
      <c r="M58" s="55"/>
      <c r="N58" s="55"/>
      <c r="O58" s="55"/>
      <c r="P58" s="50"/>
    </row>
    <row r="59" spans="2:18" ht="14.5">
      <c r="B59" s="47"/>
      <c r="C59" s="46"/>
      <c r="D59" s="54"/>
      <c r="E59" s="54"/>
      <c r="F59" s="54"/>
      <c r="G59" s="54"/>
      <c r="H59" s="54"/>
      <c r="I59" s="54"/>
      <c r="J59" s="54"/>
      <c r="K59" s="54"/>
      <c r="L59" s="54"/>
      <c r="M59" s="55"/>
      <c r="N59" s="55"/>
      <c r="O59" s="55"/>
      <c r="P59" s="50"/>
    </row>
    <row r="60" spans="2:18" ht="14.5">
      <c r="B60" s="47"/>
      <c r="C60" s="46"/>
      <c r="D60" s="54"/>
      <c r="E60" s="54"/>
      <c r="F60" s="54"/>
      <c r="G60" s="54"/>
      <c r="H60" s="54"/>
      <c r="I60" s="54"/>
      <c r="J60" s="54"/>
      <c r="K60" s="54"/>
      <c r="L60" s="54"/>
      <c r="M60" s="54"/>
      <c r="N60" s="54"/>
      <c r="O60" s="54"/>
      <c r="P60" s="50"/>
    </row>
    <row r="61" spans="2:18">
      <c r="B61" s="53"/>
      <c r="M61" s="52"/>
      <c r="N61" s="50"/>
    </row>
    <row r="62" spans="2:18" ht="21.4" customHeight="1">
      <c r="B62" s="48"/>
      <c r="D62" s="50"/>
      <c r="E62" s="50"/>
      <c r="F62" s="50"/>
      <c r="G62" s="50"/>
      <c r="H62" s="50"/>
      <c r="I62" s="50"/>
      <c r="J62" s="50"/>
      <c r="K62" s="50"/>
      <c r="L62" s="50"/>
      <c r="M62" s="50"/>
      <c r="N62" s="50"/>
      <c r="O62" s="50"/>
    </row>
  </sheetData>
  <mergeCells count="3">
    <mergeCell ref="C4:H4"/>
    <mergeCell ref="B8:B9"/>
    <mergeCell ref="D25:O25"/>
  </mergeCells>
  <phoneticPr fontId="27" type="noConversion"/>
  <pageMargins left="0.70866141732283472" right="0.70866141732283472" top="0.74803149606299213" bottom="0.74803149606299213" header="0.31496062992125984" footer="0.31496062992125984"/>
  <pageSetup paperSize="9" scale="3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جدول رقم 1</vt:lpstr>
      <vt:lpstr>جدول رقم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Salha Ahmed Mattary</dc:creator>
  <cp:lastModifiedBy>Nino Ralph Triviana Carvajal</cp:lastModifiedBy>
  <cp:lastPrinted>2022-05-24T10:52:14Z</cp:lastPrinted>
  <dcterms:created xsi:type="dcterms:W3CDTF">2015-06-05T18:17:20Z</dcterms:created>
  <dcterms:modified xsi:type="dcterms:W3CDTF">2026-06-07T12:34:05Z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8cc29-e6e4-4813-9eba-45598f230076_Enabled">
    <vt:lpwstr>True</vt:lpwstr>
  </property>
  <property fmtid="{D5CDD505-2E9C-101B-9397-08002B2CF9AE}" pid="3" name="MSIP_Label_a728cc29-e6e4-4813-9eba-45598f230076_SiteId">
    <vt:lpwstr>9885381f-1e3d-4948-9413-16501beaadb0</vt:lpwstr>
  </property>
  <property fmtid="{D5CDD505-2E9C-101B-9397-08002B2CF9AE}" pid="4" name="MSIP_Label_a728cc29-e6e4-4813-9eba-45598f230076_Owner">
    <vt:lpwstr>asalah@AlJomaih.onmicrosoft.com</vt:lpwstr>
  </property>
  <property fmtid="{D5CDD505-2E9C-101B-9397-08002B2CF9AE}" pid="5" name="MSIP_Label_a728cc29-e6e4-4813-9eba-45598f230076_SetDate">
    <vt:lpwstr>2021-10-27T12:11:43.8522584Z</vt:lpwstr>
  </property>
  <property fmtid="{D5CDD505-2E9C-101B-9397-08002B2CF9AE}" pid="6" name="MSIP_Label_a728cc29-e6e4-4813-9eba-45598f230076_Name">
    <vt:lpwstr>Public</vt:lpwstr>
  </property>
  <property fmtid="{D5CDD505-2E9C-101B-9397-08002B2CF9AE}" pid="7" name="MSIP_Label_a728cc29-e6e4-4813-9eba-45598f230076_Application">
    <vt:lpwstr>Microsoft Azure Information Protection</vt:lpwstr>
  </property>
  <property fmtid="{D5CDD505-2E9C-101B-9397-08002B2CF9AE}" pid="8" name="MSIP_Label_a728cc29-e6e4-4813-9eba-45598f230076_ActionId">
    <vt:lpwstr>8f1b5628-1e28-4e6e-809d-5ad8ee12adf5</vt:lpwstr>
  </property>
  <property fmtid="{D5CDD505-2E9C-101B-9397-08002B2CF9AE}" pid="9" name="MSIP_Label_a728cc29-e6e4-4813-9eba-45598f230076_Extended_MSFT_Method">
    <vt:lpwstr>Manual</vt:lpwstr>
  </property>
  <property fmtid="{D5CDD505-2E9C-101B-9397-08002B2CF9AE}" pid="10" name="Sensitivity">
    <vt:lpwstr>Public</vt:lpwstr>
  </property>
</Properties>
</file>